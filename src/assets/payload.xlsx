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occdc-my.sharepoint.com/personal/jean-simon_robert-ouimet_parl_gc_ca/Documents/Downloads/"/>
    </mc:Choice>
  </mc:AlternateContent>
  <xr:revisionPtr revIDLastSave="33" documentId="13_ncr:1_{373C16C6-4C39-4F12-902D-FD916BDA9701}" xr6:coauthVersionLast="47" xr6:coauthVersionMax="47" xr10:uidLastSave="{13A7DA96-15A2-4E5D-B9A1-3870AA8A64EF}"/>
  <bookViews>
    <workbookView xWindow="-120" yWindow="-120" windowWidth="29040" windowHeight="15720" firstSheet="1" activeTab="1" xr2:uid="{983CEFC8-2B83-4647-BCB1-636BCC2A5490}"/>
  </bookViews>
  <sheets>
    <sheet name="How to interface with Web tool" sheetId="8" r:id="rId1"/>
    <sheet name="machine_readable" sheetId="7" r:id="rId2"/>
    <sheet name="For user (EN)" sheetId="2" r:id="rId3"/>
    <sheet name="Model" sheetId="1" r:id="rId4"/>
    <sheet name="Model Quarterly" sheetId="9" r:id="rId5"/>
    <sheet name="Decomposition" sheetId="6" r:id="rId6"/>
    <sheet name="Fiscal Model Import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7" l="1"/>
  <c r="O4" i="7"/>
  <c r="P4" i="7"/>
  <c r="Q4" i="7"/>
  <c r="D5" i="2"/>
  <c r="E5" i="2"/>
  <c r="F5" i="2"/>
  <c r="G5" i="2"/>
  <c r="H5" i="2"/>
  <c r="E4" i="2"/>
  <c r="F4" i="2"/>
  <c r="G4" i="2"/>
  <c r="H4" i="2"/>
  <c r="D4" i="2"/>
  <c r="M11" i="7" l="1"/>
  <c r="N11" i="7"/>
  <c r="O11" i="7"/>
  <c r="P11" i="7"/>
  <c r="Q11" i="7"/>
  <c r="M12" i="7"/>
  <c r="N12" i="7"/>
  <c r="O12" i="7"/>
  <c r="P12" i="7"/>
  <c r="Q12" i="7"/>
  <c r="N10" i="7"/>
  <c r="O10" i="7"/>
  <c r="P10" i="7"/>
  <c r="Q10" i="7"/>
  <c r="M10" i="7"/>
  <c r="D4" i="1"/>
  <c r="D5" i="1"/>
  <c r="D6" i="1"/>
  <c r="D10" i="1"/>
  <c r="D11" i="1"/>
  <c r="D12" i="1"/>
  <c r="D13" i="1"/>
  <c r="D14" i="1"/>
  <c r="D15" i="1"/>
  <c r="D16" i="1"/>
  <c r="D17" i="1"/>
  <c r="D34" i="1"/>
  <c r="D35" i="1"/>
  <c r="D36" i="1"/>
  <c r="D37" i="1"/>
  <c r="E1" i="1"/>
  <c r="E2" i="1"/>
  <c r="M23" i="7"/>
  <c r="E34" i="1"/>
  <c r="E35" i="1"/>
  <c r="F35" i="1"/>
  <c r="E36" i="1"/>
  <c r="F36" i="1"/>
  <c r="G36" i="1"/>
  <c r="H36" i="1"/>
  <c r="I36" i="1"/>
  <c r="E37" i="1"/>
  <c r="E16" i="1" l="1"/>
  <c r="F16" i="1"/>
  <c r="G16" i="1"/>
  <c r="H16" i="1"/>
  <c r="I16" i="1"/>
  <c r="E11" i="1"/>
  <c r="F11" i="1"/>
  <c r="G11" i="1"/>
  <c r="H11" i="1"/>
  <c r="I11" i="1"/>
  <c r="D20" i="5"/>
  <c r="E20" i="5"/>
  <c r="F20" i="5"/>
  <c r="G20" i="5"/>
  <c r="H20" i="5"/>
  <c r="I20" i="5"/>
  <c r="J20" i="5"/>
  <c r="K20" i="5"/>
  <c r="C20" i="5"/>
  <c r="G40" i="6"/>
  <c r="F4" i="1"/>
  <c r="F12" i="5"/>
  <c r="H37" i="6" l="1"/>
  <c r="H41" i="6" s="1"/>
  <c r="J31" i="6"/>
  <c r="M2" i="6" s="1"/>
  <c r="G2" i="5" s="1"/>
  <c r="G11" i="6"/>
  <c r="G12" i="6"/>
  <c r="G13" i="6"/>
  <c r="F11" i="6"/>
  <c r="H40" i="6"/>
  <c r="H39" i="6"/>
  <c r="H38" i="6"/>
  <c r="G37" i="6"/>
  <c r="G38" i="6"/>
  <c r="G39" i="6"/>
  <c r="F40" i="6"/>
  <c r="F39" i="6"/>
  <c r="F37" i="6"/>
  <c r="F38" i="6"/>
  <c r="J30" i="6"/>
  <c r="L2" i="6" s="1"/>
  <c r="O13" i="6" l="1"/>
  <c r="G9" i="5" s="1"/>
  <c r="O12" i="6"/>
  <c r="G8" i="5" s="1"/>
  <c r="O11" i="6"/>
  <c r="G7" i="5" s="1"/>
  <c r="N2" i="6"/>
  <c r="H2" i="5" s="1"/>
  <c r="F2" i="5"/>
  <c r="L6" i="6"/>
  <c r="L3" i="6" s="1"/>
  <c r="G41" i="6"/>
  <c r="F4" i="5" l="1"/>
  <c r="L4" i="6"/>
  <c r="K17" i="5"/>
  <c r="H16" i="5"/>
  <c r="H13" i="5"/>
  <c r="K12" i="5"/>
  <c r="Y6" i="9"/>
  <c r="Z6" i="9"/>
  <c r="AA6" i="9"/>
  <c r="X6" i="9"/>
  <c r="F12" i="6"/>
  <c r="F13" i="6"/>
  <c r="E11" i="6"/>
  <c r="J29" i="6"/>
  <c r="N13" i="6" l="1"/>
  <c r="P13" i="6"/>
  <c r="H9" i="5" s="1"/>
  <c r="F9" i="5"/>
  <c r="F3" i="5"/>
  <c r="K2" i="6"/>
  <c r="K6" i="6" s="1"/>
  <c r="K3" i="6" s="1"/>
  <c r="N12" i="6"/>
  <c r="N11" i="6"/>
  <c r="J32" i="6"/>
  <c r="M6" i="6" s="1"/>
  <c r="N6" i="6" s="1"/>
  <c r="E2" i="5"/>
  <c r="H6" i="2"/>
  <c r="I5" i="1"/>
  <c r="I4" i="1"/>
  <c r="X11" i="9"/>
  <c r="X61" i="9" s="1"/>
  <c r="AA15" i="9"/>
  <c r="Z15" i="9"/>
  <c r="Y15" i="9"/>
  <c r="X15" i="9"/>
  <c r="AA14" i="9"/>
  <c r="Z14" i="9"/>
  <c r="Y14" i="9"/>
  <c r="X14" i="9"/>
  <c r="AA13" i="9"/>
  <c r="Z13" i="9"/>
  <c r="Y13" i="9"/>
  <c r="X13" i="9"/>
  <c r="AA12" i="9"/>
  <c r="Z12" i="9"/>
  <c r="Y12" i="9"/>
  <c r="X12" i="9"/>
  <c r="AA11" i="9"/>
  <c r="AA61" i="9" s="1"/>
  <c r="Z11" i="9"/>
  <c r="Z61" i="9" s="1"/>
  <c r="Y11" i="9"/>
  <c r="Y61" i="9" s="1"/>
  <c r="AA5" i="9"/>
  <c r="Z5" i="9"/>
  <c r="Y5" i="9"/>
  <c r="X5" i="9"/>
  <c r="P11" i="6" l="1"/>
  <c r="H7" i="5" s="1"/>
  <c r="F7" i="5"/>
  <c r="F8" i="5"/>
  <c r="P12" i="6"/>
  <c r="H8" i="5" s="1"/>
  <c r="M4" i="6"/>
  <c r="M3" i="6"/>
  <c r="I2" i="5"/>
  <c r="O37" i="5"/>
  <c r="O44" i="5" s="1"/>
  <c r="P44" i="5" s="1"/>
  <c r="Q44" i="5" s="1"/>
  <c r="R44" i="5" s="1"/>
  <c r="S44" i="5" s="1"/>
  <c r="T44" i="5" s="1"/>
  <c r="U44" i="5" s="1"/>
  <c r="V44" i="5" s="1"/>
  <c r="W44" i="5" s="1"/>
  <c r="X44" i="5" s="1"/>
  <c r="Y44" i="5" s="1"/>
  <c r="Z44" i="5" s="1"/>
  <c r="AA44" i="5" s="1"/>
  <c r="AB44" i="5" s="1"/>
  <c r="AC44" i="5" s="1"/>
  <c r="AD44" i="5" s="1"/>
  <c r="AE44" i="5" s="1"/>
  <c r="AF44" i="5" s="1"/>
  <c r="AG44" i="5" s="1"/>
  <c r="AH44" i="5" s="1"/>
  <c r="AI44" i="5" s="1"/>
  <c r="AJ44" i="5" s="1"/>
  <c r="AK44" i="5" s="1"/>
  <c r="AL44" i="5" s="1"/>
  <c r="I6" i="1"/>
  <c r="Y7" i="9"/>
  <c r="AA7" i="9"/>
  <c r="X7" i="9"/>
  <c r="Z7" i="9"/>
  <c r="K4" i="6"/>
  <c r="E3" i="5" s="1"/>
  <c r="D4" i="6"/>
  <c r="E4" i="1"/>
  <c r="G4" i="1"/>
  <c r="H4" i="1"/>
  <c r="G4" i="5" l="1"/>
  <c r="N3" i="6"/>
  <c r="G3" i="5"/>
  <c r="N4" i="6"/>
  <c r="H3" i="5" s="1"/>
  <c r="J2" i="5"/>
  <c r="O36" i="5"/>
  <c r="M5" i="6"/>
  <c r="D20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D15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D14" i="9"/>
  <c r="D65" i="9" s="1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D13" i="9"/>
  <c r="D64" i="9" s="1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D12" i="9"/>
  <c r="E11" i="9"/>
  <c r="E61" i="9" s="1"/>
  <c r="F11" i="9"/>
  <c r="F61" i="9" s="1"/>
  <c r="G11" i="9"/>
  <c r="G61" i="9" s="1"/>
  <c r="H11" i="9"/>
  <c r="H61" i="9" s="1"/>
  <c r="I11" i="9"/>
  <c r="I61" i="9" s="1"/>
  <c r="J11" i="9"/>
  <c r="J61" i="9" s="1"/>
  <c r="K11" i="9"/>
  <c r="K61" i="9" s="1"/>
  <c r="L11" i="9"/>
  <c r="L61" i="9" s="1"/>
  <c r="M11" i="9"/>
  <c r="M61" i="9" s="1"/>
  <c r="N11" i="9"/>
  <c r="N61" i="9" s="1"/>
  <c r="O11" i="9"/>
  <c r="O61" i="9" s="1"/>
  <c r="P11" i="9"/>
  <c r="P61" i="9" s="1"/>
  <c r="Q11" i="9"/>
  <c r="Q61" i="9" s="1"/>
  <c r="R11" i="9"/>
  <c r="R61" i="9" s="1"/>
  <c r="S11" i="9"/>
  <c r="S61" i="9" s="1"/>
  <c r="T11" i="9"/>
  <c r="T61" i="9" s="1"/>
  <c r="U11" i="9"/>
  <c r="U61" i="9" s="1"/>
  <c r="V11" i="9"/>
  <c r="V61" i="9" s="1"/>
  <c r="W11" i="9"/>
  <c r="W61" i="9" s="1"/>
  <c r="D11" i="9"/>
  <c r="D61" i="9" s="1"/>
  <c r="U6" i="9"/>
  <c r="V6" i="9"/>
  <c r="W6" i="9"/>
  <c r="T6" i="9"/>
  <c r="Q6" i="9"/>
  <c r="R6" i="9"/>
  <c r="S6" i="9"/>
  <c r="P6" i="9"/>
  <c r="M6" i="9"/>
  <c r="N6" i="9"/>
  <c r="O6" i="9"/>
  <c r="L6" i="9"/>
  <c r="J6" i="9"/>
  <c r="K6" i="9"/>
  <c r="I6" i="9"/>
  <c r="H6" i="9"/>
  <c r="G6" i="9"/>
  <c r="F6" i="9"/>
  <c r="E6" i="9"/>
  <c r="G5" i="9"/>
  <c r="F5" i="9"/>
  <c r="E5" i="9"/>
  <c r="D6" i="9"/>
  <c r="D5" i="9"/>
  <c r="I3" i="5" l="1"/>
  <c r="J3" i="5" s="1"/>
  <c r="K3" i="5" s="1"/>
  <c r="H4" i="5"/>
  <c r="N5" i="6"/>
  <c r="K2" i="5"/>
  <c r="O38" i="5"/>
  <c r="I4" i="5"/>
  <c r="E5" i="1"/>
  <c r="J4" i="5" l="1"/>
  <c r="C12" i="5"/>
  <c r="F13" i="5"/>
  <c r="C16" i="5"/>
  <c r="D16" i="5"/>
  <c r="E16" i="5"/>
  <c r="F16" i="5"/>
  <c r="G16" i="5"/>
  <c r="E13" i="1" s="1"/>
  <c r="F13" i="1"/>
  <c r="I16" i="5"/>
  <c r="G13" i="1" s="1"/>
  <c r="J16" i="5"/>
  <c r="H13" i="1" s="1"/>
  <c r="C17" i="5"/>
  <c r="D17" i="5"/>
  <c r="E17" i="5"/>
  <c r="F17" i="5"/>
  <c r="G17" i="5"/>
  <c r="E14" i="1" s="1"/>
  <c r="H17" i="5"/>
  <c r="F14" i="1" s="1"/>
  <c r="I17" i="5"/>
  <c r="G14" i="1" s="1"/>
  <c r="J17" i="5"/>
  <c r="H14" i="1" s="1"/>
  <c r="C18" i="5"/>
  <c r="D18" i="5"/>
  <c r="E18" i="5"/>
  <c r="F18" i="5"/>
  <c r="G18" i="5"/>
  <c r="E15" i="1" s="1"/>
  <c r="H18" i="5"/>
  <c r="F15" i="1" s="1"/>
  <c r="I18" i="5"/>
  <c r="G15" i="1" s="1"/>
  <c r="J18" i="5"/>
  <c r="H15" i="1" s="1"/>
  <c r="D12" i="5"/>
  <c r="C14" i="5"/>
  <c r="K4" i="5" l="1"/>
  <c r="K18" i="5"/>
  <c r="I15" i="1" s="1"/>
  <c r="K16" i="5"/>
  <c r="I13" i="1" s="1"/>
  <c r="I14" i="1"/>
  <c r="E12" i="6"/>
  <c r="E13" i="6"/>
  <c r="D11" i="6"/>
  <c r="E37" i="6"/>
  <c r="J28" i="6"/>
  <c r="J27" i="6"/>
  <c r="D3" i="6"/>
  <c r="E40" i="6"/>
  <c r="E39" i="6"/>
  <c r="E38" i="6"/>
  <c r="D13" i="6"/>
  <c r="M13" i="6" l="1"/>
  <c r="E9" i="5" s="1"/>
  <c r="M11" i="6"/>
  <c r="E7" i="5" s="1"/>
  <c r="J2" i="6"/>
  <c r="J4" i="6"/>
  <c r="M12" i="6"/>
  <c r="E8" i="5" s="1"/>
  <c r="E41" i="6"/>
  <c r="F41" i="6"/>
  <c r="J3" i="6"/>
  <c r="G7" i="9" l="1"/>
  <c r="F7" i="9"/>
  <c r="E7" i="9"/>
  <c r="D7" i="9"/>
  <c r="E2" i="2"/>
  <c r="F2" i="2" s="1"/>
  <c r="G2" i="2" s="1"/>
  <c r="H2" i="2" s="1"/>
  <c r="E1" i="2"/>
  <c r="F1" i="2" s="1"/>
  <c r="G1" i="2" s="1"/>
  <c r="H1" i="2" s="1"/>
  <c r="J26" i="6" l="1"/>
  <c r="J25" i="6"/>
  <c r="J24" i="6"/>
  <c r="J17" i="6" l="1"/>
  <c r="J18" i="6"/>
  <c r="J19" i="6"/>
  <c r="J20" i="6"/>
  <c r="J21" i="6"/>
  <c r="J22" i="6"/>
  <c r="G12" i="5" l="1"/>
  <c r="H12" i="5"/>
  <c r="F10" i="1" s="1"/>
  <c r="N9" i="7" s="1"/>
  <c r="I12" i="5"/>
  <c r="G10" i="1" s="1"/>
  <c r="O9" i="7" s="1"/>
  <c r="J12" i="5"/>
  <c r="H10" i="1" s="1"/>
  <c r="P9" i="7" s="1"/>
  <c r="I10" i="1"/>
  <c r="Q9" i="7" s="1"/>
  <c r="G13" i="5"/>
  <c r="E12" i="1" s="1"/>
  <c r="M14" i="7" s="1"/>
  <c r="F12" i="1"/>
  <c r="N14" i="7" s="1"/>
  <c r="I13" i="5"/>
  <c r="G12" i="1" s="1"/>
  <c r="O14" i="7" s="1"/>
  <c r="J13" i="5"/>
  <c r="H12" i="1" s="1"/>
  <c r="P14" i="7" s="1"/>
  <c r="K13" i="5"/>
  <c r="I12" i="1" s="1"/>
  <c r="Q14" i="7" s="1"/>
  <c r="G14" i="5"/>
  <c r="M13" i="7" s="1"/>
  <c r="H14" i="5"/>
  <c r="N13" i="7" s="1"/>
  <c r="I14" i="5"/>
  <c r="O13" i="7" s="1"/>
  <c r="J14" i="5"/>
  <c r="P13" i="7" s="1"/>
  <c r="K14" i="5"/>
  <c r="Q13" i="7" s="1"/>
  <c r="E10" i="1" l="1"/>
  <c r="M9" i="7" s="1"/>
  <c r="G21" i="5"/>
  <c r="P37" i="5"/>
  <c r="Q37" i="5" l="1"/>
  <c r="D6" i="2"/>
  <c r="M4" i="7" s="1"/>
  <c r="E6" i="2"/>
  <c r="F6" i="2"/>
  <c r="G6" i="2"/>
  <c r="R37" i="5" l="1"/>
  <c r="U7" i="9"/>
  <c r="V7" i="9"/>
  <c r="W7" i="9"/>
  <c r="T7" i="9"/>
  <c r="P7" i="9"/>
  <c r="Q7" i="9"/>
  <c r="R7" i="9"/>
  <c r="S7" i="9"/>
  <c r="M7" i="9"/>
  <c r="L7" i="9"/>
  <c r="N7" i="9"/>
  <c r="O7" i="9"/>
  <c r="J7" i="9"/>
  <c r="K7" i="9"/>
  <c r="H7" i="9"/>
  <c r="I7" i="9"/>
  <c r="H19" i="9" l="1"/>
  <c r="S37" i="5"/>
  <c r="I8" i="5"/>
  <c r="J8" i="5" s="1"/>
  <c r="K8" i="5" s="1"/>
  <c r="T37" i="5" l="1"/>
  <c r="C13" i="5"/>
  <c r="F14" i="5"/>
  <c r="U37" i="5" l="1"/>
  <c r="V37" i="5" l="1"/>
  <c r="E4" i="5"/>
  <c r="C11" i="6"/>
  <c r="C12" i="6"/>
  <c r="D12" i="6"/>
  <c r="L11" i="6" s="1"/>
  <c r="D7" i="5" s="1"/>
  <c r="C13" i="6"/>
  <c r="B12" i="6"/>
  <c r="B13" i="6"/>
  <c r="B11" i="6"/>
  <c r="J11" i="6" l="1"/>
  <c r="B7" i="5" s="1"/>
  <c r="W37" i="5"/>
  <c r="P36" i="5"/>
  <c r="J13" i="6"/>
  <c r="B9" i="5" s="1"/>
  <c r="J12" i="6"/>
  <c r="B8" i="5" s="1"/>
  <c r="K11" i="6"/>
  <c r="C7" i="5" s="1"/>
  <c r="L12" i="6"/>
  <c r="D8" i="5" s="1"/>
  <c r="L13" i="6"/>
  <c r="D9" i="5" s="1"/>
  <c r="C4" i="6"/>
  <c r="I4" i="6" s="1"/>
  <c r="C3" i="5" s="1"/>
  <c r="B4" i="6"/>
  <c r="C3" i="6"/>
  <c r="I3" i="6" s="1"/>
  <c r="C4" i="5" s="1"/>
  <c r="B3" i="6"/>
  <c r="H3" i="6" s="1"/>
  <c r="C2" i="6"/>
  <c r="I2" i="6" s="1"/>
  <c r="B2" i="6"/>
  <c r="H2" i="6" s="1"/>
  <c r="H4" i="6" l="1"/>
  <c r="B4" i="5"/>
  <c r="X37" i="5"/>
  <c r="O39" i="5"/>
  <c r="P39" i="5" s="1"/>
  <c r="Q39" i="5" s="1"/>
  <c r="R39" i="5" s="1"/>
  <c r="S39" i="5" s="1"/>
  <c r="T39" i="5" s="1"/>
  <c r="U39" i="5" s="1"/>
  <c r="V39" i="5" s="1"/>
  <c r="W39" i="5" s="1"/>
  <c r="X39" i="5" s="1"/>
  <c r="Y39" i="5" s="1"/>
  <c r="Z39" i="5" s="1"/>
  <c r="AA39" i="5" s="1"/>
  <c r="AB39" i="5" s="1"/>
  <c r="AC39" i="5" s="1"/>
  <c r="AD39" i="5" s="1"/>
  <c r="AE39" i="5" s="1"/>
  <c r="AF39" i="5" s="1"/>
  <c r="AG39" i="5" s="1"/>
  <c r="AH39" i="5" s="1"/>
  <c r="AI39" i="5" s="1"/>
  <c r="AJ39" i="5" s="1"/>
  <c r="AK39" i="5" s="1"/>
  <c r="AL39" i="5" s="1"/>
  <c r="Q36" i="5"/>
  <c r="B2" i="5"/>
  <c r="H6" i="6"/>
  <c r="I6" i="6"/>
  <c r="C2" i="5"/>
  <c r="D3" i="5"/>
  <c r="D2" i="5"/>
  <c r="J6" i="6"/>
  <c r="D4" i="5"/>
  <c r="B3" i="5" l="1"/>
  <c r="I7" i="5"/>
  <c r="J7" i="5" s="1"/>
  <c r="K7" i="5" s="1"/>
  <c r="Y37" i="5"/>
  <c r="R36" i="5"/>
  <c r="E14" i="5"/>
  <c r="Z37" i="5" l="1"/>
  <c r="P38" i="5"/>
  <c r="O40" i="5"/>
  <c r="P40" i="5" s="1"/>
  <c r="Q40" i="5" s="1"/>
  <c r="R40" i="5" s="1"/>
  <c r="S40" i="5" s="1"/>
  <c r="T40" i="5" s="1"/>
  <c r="U40" i="5" s="1"/>
  <c r="V40" i="5" s="1"/>
  <c r="W40" i="5" s="1"/>
  <c r="X40" i="5" s="1"/>
  <c r="Y40" i="5" s="1"/>
  <c r="Z40" i="5" s="1"/>
  <c r="AA40" i="5" s="1"/>
  <c r="AB40" i="5" s="1"/>
  <c r="AC40" i="5" s="1"/>
  <c r="AD40" i="5" s="1"/>
  <c r="AE40" i="5" s="1"/>
  <c r="AF40" i="5" s="1"/>
  <c r="AG40" i="5" s="1"/>
  <c r="AH40" i="5" s="1"/>
  <c r="AI40" i="5" s="1"/>
  <c r="AJ40" i="5" s="1"/>
  <c r="AK40" i="5" s="1"/>
  <c r="AL40" i="5" s="1"/>
  <c r="S36" i="5"/>
  <c r="F21" i="5"/>
  <c r="K13" i="6"/>
  <c r="C9" i="5" s="1"/>
  <c r="K12" i="6"/>
  <c r="C8" i="5" s="1"/>
  <c r="AA37" i="5" l="1"/>
  <c r="T36" i="5"/>
  <c r="O42" i="5"/>
  <c r="D16" i="9" s="1"/>
  <c r="E17" i="1"/>
  <c r="M15" i="7" s="1"/>
  <c r="Q38" i="5"/>
  <c r="P42" i="5"/>
  <c r="E16" i="9" s="1"/>
  <c r="E19" i="9" s="1"/>
  <c r="C21" i="5"/>
  <c r="E6" i="1"/>
  <c r="F6" i="1"/>
  <c r="D19" i="9" l="1"/>
  <c r="AB37" i="5"/>
  <c r="I9" i="5"/>
  <c r="H21" i="5"/>
  <c r="F17" i="1" s="1"/>
  <c r="N15" i="7" s="1"/>
  <c r="U36" i="5"/>
  <c r="R38" i="5"/>
  <c r="Q42" i="5"/>
  <c r="F16" i="9" s="1"/>
  <c r="F19" i="9" s="1"/>
  <c r="D21" i="9" l="1"/>
  <c r="D74" i="9"/>
  <c r="D76" i="9" s="1"/>
  <c r="AC37" i="5"/>
  <c r="S38" i="5"/>
  <c r="R42" i="5"/>
  <c r="G16" i="9" s="1"/>
  <c r="G19" i="9" s="1"/>
  <c r="V36" i="5"/>
  <c r="J9" i="5"/>
  <c r="I21" i="5"/>
  <c r="G17" i="1" s="1"/>
  <c r="O15" i="7" s="1"/>
  <c r="F5" i="1"/>
  <c r="G5" i="1"/>
  <c r="H5" i="1"/>
  <c r="G6" i="1"/>
  <c r="H6" i="1"/>
  <c r="F1" i="1"/>
  <c r="G1" i="1" s="1"/>
  <c r="F2" i="1"/>
  <c r="G2" i="1" s="1"/>
  <c r="AD37" i="5" l="1"/>
  <c r="D22" i="9"/>
  <c r="D75" i="9"/>
  <c r="K9" i="5"/>
  <c r="J21" i="5"/>
  <c r="H17" i="1" s="1"/>
  <c r="P15" i="7" s="1"/>
  <c r="W36" i="5"/>
  <c r="T38" i="5"/>
  <c r="S42" i="5"/>
  <c r="H16" i="9" s="1"/>
  <c r="D32" i="9" l="1"/>
  <c r="D25" i="9"/>
  <c r="D28" i="9" s="1"/>
  <c r="D31" i="9"/>
  <c r="D30" i="9"/>
  <c r="D29" i="9"/>
  <c r="AE37" i="5"/>
  <c r="U38" i="5"/>
  <c r="T42" i="5"/>
  <c r="I16" i="9" s="1"/>
  <c r="I19" i="9" s="1"/>
  <c r="X36" i="5"/>
  <c r="K21" i="5"/>
  <c r="I17" i="1" s="1"/>
  <c r="Q15" i="7" s="1"/>
  <c r="D14" i="5"/>
  <c r="E12" i="5"/>
  <c r="E13" i="5"/>
  <c r="D13" i="5"/>
  <c r="D21" i="5" s="1"/>
  <c r="D38" i="9" l="1"/>
  <c r="D39" i="9"/>
  <c r="D48" i="9" s="1"/>
  <c r="D41" i="9"/>
  <c r="D49" i="9" s="1"/>
  <c r="D37" i="9"/>
  <c r="D46" i="9" s="1"/>
  <c r="D47" i="9"/>
  <c r="AF37" i="5"/>
  <c r="D66" i="9"/>
  <c r="D68" i="9" s="1"/>
  <c r="D33" i="9"/>
  <c r="Y36" i="5"/>
  <c r="V38" i="5"/>
  <c r="U42" i="5"/>
  <c r="J16" i="9" s="1"/>
  <c r="J19" i="9" s="1"/>
  <c r="E21" i="5"/>
  <c r="D67" i="9" l="1"/>
  <c r="D69" i="9" s="1"/>
  <c r="D40" i="9"/>
  <c r="D42" i="9"/>
  <c r="D71" i="9" s="1"/>
  <c r="E20" i="9" s="1"/>
  <c r="D36" i="9"/>
  <c r="E52" i="9"/>
  <c r="E55" i="9" s="1"/>
  <c r="AG37" i="5"/>
  <c r="W38" i="5"/>
  <c r="V42" i="5"/>
  <c r="K16" i="9" s="1"/>
  <c r="K19" i="9" s="1"/>
  <c r="E20" i="1" s="1"/>
  <c r="Z36" i="5"/>
  <c r="E74" i="9" l="1"/>
  <c r="E76" i="9" s="1"/>
  <c r="E21" i="9"/>
  <c r="E75" i="9" s="1"/>
  <c r="AH37" i="5"/>
  <c r="X38" i="5"/>
  <c r="W42" i="5"/>
  <c r="L16" i="9" s="1"/>
  <c r="L19" i="9" s="1"/>
  <c r="AA36" i="5"/>
  <c r="H2" i="1"/>
  <c r="I2" i="1" s="1"/>
  <c r="H1" i="1"/>
  <c r="I1" i="1" s="1"/>
  <c r="E22" i="9" l="1"/>
  <c r="AI37" i="5"/>
  <c r="Y38" i="5"/>
  <c r="X42" i="5"/>
  <c r="M16" i="9" s="1"/>
  <c r="M19" i="9" s="1"/>
  <c r="AB36" i="5"/>
  <c r="E31" i="9" l="1"/>
  <c r="E25" i="9"/>
  <c r="E33" i="9" s="1"/>
  <c r="E42" i="9" s="1"/>
  <c r="E30" i="9"/>
  <c r="E29" i="9"/>
  <c r="E32" i="9"/>
  <c r="AJ37" i="5"/>
  <c r="E39" i="9"/>
  <c r="AC36" i="5"/>
  <c r="Z38" i="5"/>
  <c r="Y42" i="5"/>
  <c r="N16" i="9" s="1"/>
  <c r="N19" i="9" s="1"/>
  <c r="E65" i="9" l="1"/>
  <c r="E41" i="9"/>
  <c r="E67" i="9" s="1"/>
  <c r="E64" i="9"/>
  <c r="E38" i="9"/>
  <c r="E47" i="9" s="1"/>
  <c r="E36" i="9"/>
  <c r="E37" i="9"/>
  <c r="E46" i="9" s="1"/>
  <c r="E28" i="9"/>
  <c r="F52" i="9"/>
  <c r="F55" i="9" s="1"/>
  <c r="AK37" i="5"/>
  <c r="AL37" i="5" s="1"/>
  <c r="E49" i="9"/>
  <c r="E48" i="9"/>
  <c r="E66" i="9"/>
  <c r="E68" i="9" s="1"/>
  <c r="AD36" i="5"/>
  <c r="AA38" i="5"/>
  <c r="Z42" i="5"/>
  <c r="O16" i="9" s="1"/>
  <c r="O19" i="9" s="1"/>
  <c r="F20" i="1" s="1"/>
  <c r="E69" i="9" l="1"/>
  <c r="E71" i="9"/>
  <c r="F20" i="9" s="1"/>
  <c r="E40" i="9"/>
  <c r="AB38" i="5"/>
  <c r="AA42" i="5"/>
  <c r="P16" i="9" s="1"/>
  <c r="P19" i="9" s="1"/>
  <c r="AE36" i="5"/>
  <c r="F21" i="9" l="1"/>
  <c r="F74" i="9"/>
  <c r="AF36" i="5"/>
  <c r="AC38" i="5"/>
  <c r="AB42" i="5"/>
  <c r="Q16" i="9" s="1"/>
  <c r="Q19" i="9" s="1"/>
  <c r="F76" i="9" l="1"/>
  <c r="F22" i="9"/>
  <c r="F75" i="9"/>
  <c r="AD38" i="5"/>
  <c r="AC42" i="5"/>
  <c r="R16" i="9" s="1"/>
  <c r="R19" i="9" s="1"/>
  <c r="AG36" i="5"/>
  <c r="F31" i="9" l="1"/>
  <c r="F29" i="9"/>
  <c r="F30" i="9"/>
  <c r="F25" i="9"/>
  <c r="F32" i="9"/>
  <c r="AH36" i="5"/>
  <c r="AE38" i="5"/>
  <c r="AD42" i="5"/>
  <c r="S16" i="9" s="1"/>
  <c r="S19" i="9" s="1"/>
  <c r="G20" i="1" s="1"/>
  <c r="F64" i="9" l="1"/>
  <c r="F38" i="9"/>
  <c r="F47" i="9" s="1"/>
  <c r="F65" i="9"/>
  <c r="F37" i="9"/>
  <c r="F41" i="9"/>
  <c r="F49" i="9" s="1"/>
  <c r="F39" i="9"/>
  <c r="F48" i="9" s="1"/>
  <c r="F33" i="9"/>
  <c r="F28" i="9"/>
  <c r="AI36" i="5"/>
  <c r="AF38" i="5"/>
  <c r="AE42" i="5"/>
  <c r="T16" i="9" s="1"/>
  <c r="T19" i="9" s="1"/>
  <c r="F67" i="9" l="1"/>
  <c r="F69" i="9" s="1"/>
  <c r="F66" i="9"/>
  <c r="F68" i="9" s="1"/>
  <c r="F46" i="9"/>
  <c r="F40" i="9"/>
  <c r="F42" i="9"/>
  <c r="G52" i="9"/>
  <c r="G55" i="9" s="1"/>
  <c r="D33" i="1" s="1"/>
  <c r="F36" i="9"/>
  <c r="AJ36" i="5"/>
  <c r="AG38" i="5"/>
  <c r="AF42" i="5"/>
  <c r="U16" i="9" s="1"/>
  <c r="U19" i="9" s="1"/>
  <c r="F71" i="9" l="1"/>
  <c r="G20" i="9" s="1"/>
  <c r="D20" i="1" s="1"/>
  <c r="AK36" i="5"/>
  <c r="AL36" i="5" s="1"/>
  <c r="AH38" i="5"/>
  <c r="AG42" i="5"/>
  <c r="V16" i="9" s="1"/>
  <c r="V19" i="9" s="1"/>
  <c r="G74" i="9" l="1"/>
  <c r="D53" i="1" s="1"/>
  <c r="G21" i="9"/>
  <c r="G22" i="9" s="1"/>
  <c r="AI38" i="5"/>
  <c r="AH42" i="5"/>
  <c r="W16" i="9" s="1"/>
  <c r="W19" i="9" s="1"/>
  <c r="H20" i="1" s="1"/>
  <c r="D21" i="1" l="1"/>
  <c r="D22" i="1" s="1"/>
  <c r="D55" i="1"/>
  <c r="G75" i="9"/>
  <c r="D54" i="1" s="1"/>
  <c r="D23" i="1" s="1"/>
  <c r="G76" i="9"/>
  <c r="G30" i="9"/>
  <c r="D28" i="1" s="1"/>
  <c r="G29" i="9"/>
  <c r="D27" i="1" s="1"/>
  <c r="G31" i="9"/>
  <c r="D29" i="1" s="1"/>
  <c r="G32" i="9"/>
  <c r="D31" i="1" s="1"/>
  <c r="G25" i="9"/>
  <c r="AJ38" i="5"/>
  <c r="AI42" i="5"/>
  <c r="X16" i="9" s="1"/>
  <c r="X19" i="9" s="1"/>
  <c r="D49" i="1" l="1"/>
  <c r="D45" i="1"/>
  <c r="D46" i="1"/>
  <c r="D48" i="1"/>
  <c r="D47" i="1"/>
  <c r="D30" i="1"/>
  <c r="G41" i="9"/>
  <c r="D44" i="1" s="1"/>
  <c r="G64" i="9"/>
  <c r="G39" i="9"/>
  <c r="G65" i="9"/>
  <c r="G38" i="9"/>
  <c r="G37" i="9"/>
  <c r="D40" i="1" s="1"/>
  <c r="G49" i="9"/>
  <c r="G48" i="9"/>
  <c r="G33" i="9"/>
  <c r="G28" i="9"/>
  <c r="D26" i="1" s="1"/>
  <c r="AK38" i="5"/>
  <c r="AJ42" i="5"/>
  <c r="Y16" i="9" s="1"/>
  <c r="Y19" i="9" s="1"/>
  <c r="G67" i="9" l="1"/>
  <c r="G69" i="9" s="1"/>
  <c r="G47" i="9"/>
  <c r="D41" i="1"/>
  <c r="G66" i="9"/>
  <c r="G68" i="9" s="1"/>
  <c r="D42" i="1"/>
  <c r="AK42" i="5"/>
  <c r="Z16" i="9" s="1"/>
  <c r="Z19" i="9" s="1"/>
  <c r="AL38" i="5"/>
  <c r="AL42" i="5" s="1"/>
  <c r="AA16" i="9" s="1"/>
  <c r="AA19" i="9" s="1"/>
  <c r="G40" i="9"/>
  <c r="D43" i="1" s="1"/>
  <c r="G46" i="9"/>
  <c r="G42" i="9"/>
  <c r="H52" i="9"/>
  <c r="H55" i="9" s="1"/>
  <c r="G36" i="9"/>
  <c r="D39" i="1" s="1"/>
  <c r="I20" i="1" l="1"/>
  <c r="G71" i="9"/>
  <c r="H20" i="9" l="1"/>
  <c r="H21" i="9" s="1"/>
  <c r="H22" i="9" l="1"/>
  <c r="H25" i="9" s="1"/>
  <c r="H74" i="9"/>
  <c r="H76" i="9" s="1"/>
  <c r="H75" i="9" l="1"/>
  <c r="H31" i="9"/>
  <c r="H32" i="9"/>
  <c r="H41" i="9" s="1"/>
  <c r="H49" i="9" s="1"/>
  <c r="H30" i="9"/>
  <c r="H65" i="9" s="1"/>
  <c r="H29" i="9"/>
  <c r="H64" i="9" s="1"/>
  <c r="H39" i="9"/>
  <c r="H48" i="9" s="1"/>
  <c r="H28" i="9"/>
  <c r="H33" i="9"/>
  <c r="H38" i="9" l="1"/>
  <c r="H47" i="9" s="1"/>
  <c r="H37" i="9"/>
  <c r="H46" i="9" s="1"/>
  <c r="I52" i="9"/>
  <c r="I55" i="9" s="1"/>
  <c r="H36" i="9"/>
  <c r="H42" i="9"/>
  <c r="H66" i="9"/>
  <c r="H68" i="9" s="1"/>
  <c r="H67" i="9"/>
  <c r="H69" i="9" s="1"/>
  <c r="H40" i="9" l="1"/>
  <c r="H71" i="9"/>
  <c r="I20" i="9" l="1"/>
  <c r="I21" i="9" s="1"/>
  <c r="I74" i="9" l="1"/>
  <c r="I76" i="9" s="1"/>
  <c r="I75" i="9"/>
  <c r="I22" i="9"/>
  <c r="I25" i="9" s="1"/>
  <c r="I32" i="9" l="1"/>
  <c r="I41" i="9" s="1"/>
  <c r="I49" i="9" s="1"/>
  <c r="I29" i="9"/>
  <c r="I64" i="9" s="1"/>
  <c r="I30" i="9"/>
  <c r="I65" i="9" s="1"/>
  <c r="I31" i="9"/>
  <c r="I37" i="9" l="1"/>
  <c r="I46" i="9" s="1"/>
  <c r="I39" i="9"/>
  <c r="I48" i="9" s="1"/>
  <c r="I38" i="9"/>
  <c r="I47" i="9" s="1"/>
  <c r="I33" i="9"/>
  <c r="I28" i="9"/>
  <c r="I67" i="9"/>
  <c r="I69" i="9" s="1"/>
  <c r="I40" i="9" l="1"/>
  <c r="J52" i="9"/>
  <c r="J55" i="9" s="1"/>
  <c r="I36" i="9"/>
  <c r="I42" i="9"/>
  <c r="I66" i="9"/>
  <c r="I68" i="9" s="1"/>
  <c r="I71" i="9" l="1"/>
  <c r="J20" i="9" s="1"/>
  <c r="J74" i="9" l="1"/>
  <c r="J76" i="9" s="1"/>
  <c r="J21" i="9"/>
  <c r="J22" i="9" s="1"/>
  <c r="J25" i="9" s="1"/>
  <c r="J75" i="9"/>
  <c r="J29" i="9" l="1"/>
  <c r="J32" i="9"/>
  <c r="J30" i="9"/>
  <c r="J65" i="9" s="1"/>
  <c r="J31" i="9"/>
  <c r="J41" i="9" l="1"/>
  <c r="J39" i="9"/>
  <c r="J48" i="9" s="1"/>
  <c r="J38" i="9"/>
  <c r="J47" i="9" s="1"/>
  <c r="J64" i="9"/>
  <c r="J37" i="9"/>
  <c r="J46" i="9" s="1"/>
  <c r="J28" i="9"/>
  <c r="J33" i="9"/>
  <c r="J42" i="9" l="1"/>
  <c r="K52" i="9"/>
  <c r="K55" i="9" s="1"/>
  <c r="E33" i="1" s="1"/>
  <c r="M22" i="7" s="1"/>
  <c r="J49" i="9"/>
  <c r="J67" i="9"/>
  <c r="J69" i="9" s="1"/>
  <c r="J66" i="9"/>
  <c r="J68" i="9" s="1"/>
  <c r="J40" i="9"/>
  <c r="J36" i="9"/>
  <c r="J71" i="9" l="1"/>
  <c r="K20" i="9" s="1"/>
  <c r="K74" i="9" l="1"/>
  <c r="K76" i="9" s="1"/>
  <c r="K21" i="9"/>
  <c r="K75" i="9" s="1"/>
  <c r="E54" i="1" s="1"/>
  <c r="E23" i="1" s="1"/>
  <c r="E53" i="1" l="1"/>
  <c r="K22" i="9"/>
  <c r="K25" i="9" s="1"/>
  <c r="K28" i="9" s="1"/>
  <c r="E26" i="1" s="1"/>
  <c r="M19" i="7" s="1"/>
  <c r="D11" i="2"/>
  <c r="M7" i="7" s="1"/>
  <c r="M18" i="7"/>
  <c r="D12" i="2" l="1"/>
  <c r="M6" i="7" s="1"/>
  <c r="E21" i="1"/>
  <c r="D10" i="2"/>
  <c r="D13" i="2" s="1"/>
  <c r="M8" i="7" s="1"/>
  <c r="E55" i="1"/>
  <c r="K31" i="9"/>
  <c r="E29" i="1" s="1"/>
  <c r="K33" i="9"/>
  <c r="K29" i="9"/>
  <c r="K30" i="9"/>
  <c r="K32" i="9"/>
  <c r="K39" i="9" l="1"/>
  <c r="E42" i="1" s="1"/>
  <c r="E48" i="1" s="1"/>
  <c r="M16" i="7"/>
  <c r="E22" i="1"/>
  <c r="K41" i="9"/>
  <c r="E44" i="1" s="1"/>
  <c r="E49" i="1" s="1"/>
  <c r="E31" i="1"/>
  <c r="M21" i="7" s="1"/>
  <c r="K65" i="9"/>
  <c r="E28" i="1"/>
  <c r="K37" i="9"/>
  <c r="E40" i="1" s="1"/>
  <c r="E46" i="1" s="1"/>
  <c r="E27" i="1"/>
  <c r="M5" i="7"/>
  <c r="K36" i="9"/>
  <c r="K38" i="9"/>
  <c r="M26" i="7"/>
  <c r="K67" i="9"/>
  <c r="K69" i="9" s="1"/>
  <c r="K48" i="9"/>
  <c r="L52" i="9"/>
  <c r="L55" i="9" s="1"/>
  <c r="K42" i="9"/>
  <c r="K49" i="9"/>
  <c r="K66" i="9" l="1"/>
  <c r="K68" i="9" s="1"/>
  <c r="E30" i="1"/>
  <c r="M20" i="7" s="1"/>
  <c r="L56" i="9"/>
  <c r="L59" i="9" s="1"/>
  <c r="K40" i="9"/>
  <c r="E43" i="1" s="1"/>
  <c r="M25" i="7" s="1"/>
  <c r="K46" i="9"/>
  <c r="M17" i="7"/>
  <c r="K64" i="9"/>
  <c r="E41" i="1"/>
  <c r="E47" i="1" s="1"/>
  <c r="K47" i="9"/>
  <c r="E39" i="1"/>
  <c r="K71" i="9" l="1"/>
  <c r="L20" i="9" s="1"/>
  <c r="L21" i="9" s="1"/>
  <c r="M24" i="7"/>
  <c r="E45" i="1"/>
  <c r="L22" i="9" l="1"/>
  <c r="L25" i="9" s="1"/>
  <c r="L33" i="9" s="1"/>
  <c r="L75" i="9" l="1"/>
  <c r="L74" i="9"/>
  <c r="L76" i="9" s="1"/>
  <c r="L32" i="9"/>
  <c r="L30" i="9" l="1"/>
  <c r="L29" i="9"/>
  <c r="L31" i="9"/>
  <c r="L41" i="9"/>
  <c r="L67" i="9" s="1"/>
  <c r="L39" i="9" l="1"/>
  <c r="L66" i="9" s="1"/>
  <c r="L68" i="9" s="1"/>
  <c r="L37" i="9"/>
  <c r="M56" i="9" s="1"/>
  <c r="L65" i="9"/>
  <c r="L36" i="9"/>
  <c r="L38" i="9"/>
  <c r="L47" i="9" s="1"/>
  <c r="L28" i="9"/>
  <c r="L49" i="9"/>
  <c r="L69" i="9"/>
  <c r="M52" i="9"/>
  <c r="M55" i="9" s="1"/>
  <c r="L42" i="9"/>
  <c r="L48" i="9" l="1"/>
  <c r="L46" i="9"/>
  <c r="M59" i="9"/>
  <c r="L64" i="9"/>
  <c r="L71" i="9" s="1"/>
  <c r="M20" i="9" s="1"/>
  <c r="M74" i="9" s="1"/>
  <c r="L40" i="9"/>
  <c r="M76" i="9" l="1"/>
  <c r="M21" i="9"/>
  <c r="M75" i="9" s="1"/>
  <c r="M22" i="9" l="1"/>
  <c r="M25" i="9" l="1"/>
  <c r="M29" i="9"/>
  <c r="M30" i="9"/>
  <c r="M31" i="9"/>
  <c r="M32" i="9"/>
  <c r="M65" i="9" l="1"/>
  <c r="M37" i="9"/>
  <c r="M41" i="9"/>
  <c r="M39" i="9"/>
  <c r="M33" i="9"/>
  <c r="M28" i="9"/>
  <c r="M38" i="9"/>
  <c r="M47" i="9" s="1"/>
  <c r="M46" i="9" l="1"/>
  <c r="N56" i="9"/>
  <c r="M67" i="9"/>
  <c r="M69" i="9" s="1"/>
  <c r="M66" i="9"/>
  <c r="M68" i="9" s="1"/>
  <c r="M64" i="9"/>
  <c r="M40" i="9"/>
  <c r="N52" i="9"/>
  <c r="N55" i="9" s="1"/>
  <c r="M36" i="9"/>
  <c r="M42" i="9"/>
  <c r="M49" i="9"/>
  <c r="M48" i="9"/>
  <c r="N59" i="9" l="1"/>
  <c r="M71" i="9"/>
  <c r="N20" i="9" s="1"/>
  <c r="N74" i="9" s="1"/>
  <c r="N76" i="9" l="1"/>
  <c r="N21" i="9"/>
  <c r="N75" i="9" s="1"/>
  <c r="N22" i="9" l="1"/>
  <c r="N25" i="9" l="1"/>
  <c r="N32" i="9"/>
  <c r="N30" i="9"/>
  <c r="N29" i="9"/>
  <c r="N31" i="9"/>
  <c r="N41" i="9" l="1"/>
  <c r="N67" i="9" s="1"/>
  <c r="N39" i="9"/>
  <c r="N65" i="9"/>
  <c r="N38" i="9"/>
  <c r="N47" i="9" s="1"/>
  <c r="N37" i="9"/>
  <c r="N46" i="9" s="1"/>
  <c r="N33" i="9"/>
  <c r="N28" i="9"/>
  <c r="N49" i="9" l="1"/>
  <c r="N69" i="9"/>
  <c r="N66" i="9"/>
  <c r="N68" i="9" s="1"/>
  <c r="N48" i="9"/>
  <c r="N40" i="9"/>
  <c r="O56" i="9"/>
  <c r="N64" i="9"/>
  <c r="O52" i="9"/>
  <c r="O55" i="9" s="1"/>
  <c r="F33" i="1" s="1"/>
  <c r="N22" i="7" s="1"/>
  <c r="N36" i="9"/>
  <c r="N42" i="9"/>
  <c r="O59" i="9" l="1"/>
  <c r="F37" i="1" s="1"/>
  <c r="N23" i="7" s="1"/>
  <c r="F34" i="1"/>
  <c r="N71" i="9"/>
  <c r="O20" i="9" s="1"/>
  <c r="O74" i="9" s="1"/>
  <c r="O76" i="9" l="1"/>
  <c r="F53" i="1"/>
  <c r="F21" i="1" s="1"/>
  <c r="N16" i="7" s="1"/>
  <c r="O21" i="9"/>
  <c r="O75" i="9" s="1"/>
  <c r="F54" i="1" s="1"/>
  <c r="O22" i="9" l="1"/>
  <c r="E11" i="2"/>
  <c r="N7" i="7" s="1"/>
  <c r="F23" i="1"/>
  <c r="F22" i="1"/>
  <c r="E10" i="2"/>
  <c r="E12" i="2"/>
  <c r="N6" i="7" s="1"/>
  <c r="F55" i="1"/>
  <c r="O31" i="9" l="1"/>
  <c r="O30" i="9"/>
  <c r="O25" i="9"/>
  <c r="O33" i="9" s="1"/>
  <c r="P52" i="9" s="1"/>
  <c r="P55" i="9" s="1"/>
  <c r="O29" i="9"/>
  <c r="O32" i="9"/>
  <c r="N5" i="7"/>
  <c r="E13" i="2"/>
  <c r="N8" i="7" s="1"/>
  <c r="N17" i="7"/>
  <c r="N18" i="7"/>
  <c r="O41" i="9" l="1"/>
  <c r="O49" i="9" s="1"/>
  <c r="F31" i="1"/>
  <c r="N21" i="7" s="1"/>
  <c r="O37" i="9"/>
  <c r="P56" i="9" s="1"/>
  <c r="F27" i="1"/>
  <c r="O38" i="9"/>
  <c r="F41" i="1" s="1"/>
  <c r="F47" i="1" s="1"/>
  <c r="F28" i="1"/>
  <c r="O39" i="9"/>
  <c r="F42" i="1" s="1"/>
  <c r="F48" i="1" s="1"/>
  <c r="F29" i="1"/>
  <c r="O65" i="9"/>
  <c r="O36" i="9"/>
  <c r="O42" i="9"/>
  <c r="O28" i="9"/>
  <c r="O46" i="9" l="1"/>
  <c r="F40" i="1"/>
  <c r="F46" i="1" s="1"/>
  <c r="F44" i="1"/>
  <c r="N26" i="7" s="1"/>
  <c r="O67" i="9"/>
  <c r="O69" i="9" s="1"/>
  <c r="P57" i="9"/>
  <c r="P59" i="9" s="1"/>
  <c r="F30" i="1"/>
  <c r="N20" i="7" s="1"/>
  <c r="O64" i="9"/>
  <c r="F26" i="1"/>
  <c r="N19" i="7" s="1"/>
  <c r="O47" i="9"/>
  <c r="O66" i="9"/>
  <c r="O68" i="9" s="1"/>
  <c r="O40" i="9"/>
  <c r="F43" i="1" s="1"/>
  <c r="N25" i="7" s="1"/>
  <c r="O48" i="9"/>
  <c r="F39" i="1"/>
  <c r="F45" i="1" s="1"/>
  <c r="F49" i="1"/>
  <c r="O71" i="9" l="1"/>
  <c r="P20" i="9" s="1"/>
  <c r="N24" i="7"/>
  <c r="P21" i="9" l="1"/>
  <c r="P75" i="9" s="1"/>
  <c r="P74" i="9"/>
  <c r="P22" i="9" l="1"/>
  <c r="P76" i="9"/>
  <c r="P25" i="9" l="1"/>
  <c r="P33" i="9" s="1"/>
  <c r="P31" i="9"/>
  <c r="P32" i="9"/>
  <c r="P29" i="9"/>
  <c r="P37" i="9" s="1"/>
  <c r="P30" i="9"/>
  <c r="P65" i="9" l="1"/>
  <c r="P46" i="9"/>
  <c r="P41" i="9"/>
  <c r="P49" i="9" s="1"/>
  <c r="P39" i="9"/>
  <c r="P66" i="9" s="1"/>
  <c r="P68" i="9" s="1"/>
  <c r="Q56" i="9"/>
  <c r="P28" i="9"/>
  <c r="P38" i="9"/>
  <c r="Q52" i="9"/>
  <c r="Q55" i="9" s="1"/>
  <c r="P42" i="9"/>
  <c r="P40" i="9" l="1"/>
  <c r="P67" i="9"/>
  <c r="P69" i="9" s="1"/>
  <c r="P48" i="9"/>
  <c r="P64" i="9"/>
  <c r="P36" i="9"/>
  <c r="P47" i="9"/>
  <c r="Q57" i="9"/>
  <c r="P71" i="9" l="1"/>
  <c r="Q20" i="9" s="1"/>
  <c r="Q74" i="9" s="1"/>
  <c r="Q76" i="9" s="1"/>
  <c r="Q59" i="9"/>
  <c r="Q21" i="9" l="1"/>
  <c r="Q75" i="9" s="1"/>
  <c r="Q22" i="9" l="1"/>
  <c r="Q31" i="9" s="1"/>
  <c r="Q29" i="9" l="1"/>
  <c r="Q37" i="9" s="1"/>
  <c r="R56" i="9" s="1"/>
  <c r="Q32" i="9"/>
  <c r="Q41" i="9" s="1"/>
  <c r="Q25" i="9"/>
  <c r="Q28" i="9" s="1"/>
  <c r="Q30" i="9"/>
  <c r="Q65" i="9"/>
  <c r="Q39" i="9"/>
  <c r="Q48" i="9" s="1"/>
  <c r="Q38" i="9"/>
  <c r="Q33" i="9" l="1"/>
  <c r="R52" i="9" s="1"/>
  <c r="R55" i="9" s="1"/>
  <c r="Q49" i="9"/>
  <c r="Q40" i="9"/>
  <c r="Q46" i="9"/>
  <c r="Q66" i="9"/>
  <c r="Q68" i="9" s="1"/>
  <c r="Q64" i="9"/>
  <c r="Q67" i="9"/>
  <c r="Q69" i="9" s="1"/>
  <c r="Q36" i="9"/>
  <c r="Q42" i="9"/>
  <c r="R57" i="9"/>
  <c r="Q47" i="9"/>
  <c r="R59" i="9" l="1"/>
  <c r="Q71" i="9"/>
  <c r="R20" i="9" s="1"/>
  <c r="R21" i="9" l="1"/>
  <c r="R75" i="9" s="1"/>
  <c r="R74" i="9"/>
  <c r="R22" i="9" l="1"/>
  <c r="R76" i="9"/>
  <c r="R31" i="9" l="1"/>
  <c r="R29" i="9"/>
  <c r="R25" i="9"/>
  <c r="R33" i="9" s="1"/>
  <c r="R30" i="9"/>
  <c r="R32" i="9"/>
  <c r="R41" i="9" l="1"/>
  <c r="R49" i="9" s="1"/>
  <c r="R65" i="9"/>
  <c r="R37" i="9"/>
  <c r="S56" i="9" s="1"/>
  <c r="G34" i="1" s="1"/>
  <c r="R39" i="9"/>
  <c r="R48" i="9" s="1"/>
  <c r="R28" i="9"/>
  <c r="R38" i="9"/>
  <c r="S57" i="9" s="1"/>
  <c r="S52" i="9"/>
  <c r="S55" i="9" s="1"/>
  <c r="G33" i="1" s="1"/>
  <c r="O22" i="7" s="1"/>
  <c r="R36" i="9"/>
  <c r="R42" i="9"/>
  <c r="R67" i="9" l="1"/>
  <c r="R69" i="9" s="1"/>
  <c r="R46" i="9"/>
  <c r="R66" i="9"/>
  <c r="R68" i="9" s="1"/>
  <c r="S59" i="9"/>
  <c r="G37" i="1" s="1"/>
  <c r="O23" i="7" s="1"/>
  <c r="G35" i="1"/>
  <c r="R64" i="9"/>
  <c r="R40" i="9"/>
  <c r="R47" i="9"/>
  <c r="R71" i="9" l="1"/>
  <c r="S20" i="9" s="1"/>
  <c r="S21" i="9" s="1"/>
  <c r="S75" i="9" s="1"/>
  <c r="G54" i="1" s="1"/>
  <c r="S74" i="9" l="1"/>
  <c r="S22" i="9"/>
  <c r="S25" i="9" s="1"/>
  <c r="S76" i="9"/>
  <c r="G53" i="1"/>
  <c r="G23" i="1"/>
  <c r="F11" i="2"/>
  <c r="O7" i="7" s="1"/>
  <c r="S29" i="9" l="1"/>
  <c r="S31" i="9"/>
  <c r="G29" i="1" s="1"/>
  <c r="S30" i="9"/>
  <c r="S32" i="9"/>
  <c r="G31" i="1" s="1"/>
  <c r="O21" i="7" s="1"/>
  <c r="O18" i="7"/>
  <c r="G21" i="1"/>
  <c r="O16" i="7" s="1"/>
  <c r="F10" i="2"/>
  <c r="F12" i="2"/>
  <c r="O6" i="7" s="1"/>
  <c r="G55" i="1"/>
  <c r="S33" i="9"/>
  <c r="S28" i="9"/>
  <c r="S39" i="9" l="1"/>
  <c r="G42" i="1" s="1"/>
  <c r="G48" i="1" s="1"/>
  <c r="S41" i="9"/>
  <c r="G44" i="1" s="1"/>
  <c r="S64" i="9"/>
  <c r="G26" i="1"/>
  <c r="O19" i="7" s="1"/>
  <c r="S65" i="9"/>
  <c r="G28" i="1"/>
  <c r="S37" i="9"/>
  <c r="T56" i="9" s="1"/>
  <c r="G27" i="1"/>
  <c r="S38" i="9"/>
  <c r="G41" i="1" s="1"/>
  <c r="G47" i="1" s="1"/>
  <c r="S48" i="9"/>
  <c r="O5" i="7"/>
  <c r="F13" i="2"/>
  <c r="O8" i="7" s="1"/>
  <c r="S49" i="9"/>
  <c r="G22" i="1"/>
  <c r="O17" i="7" s="1"/>
  <c r="S36" i="9"/>
  <c r="S42" i="9"/>
  <c r="T52" i="9"/>
  <c r="T55" i="9" s="1"/>
  <c r="S66" i="9" l="1"/>
  <c r="S68" i="9" s="1"/>
  <c r="S67" i="9"/>
  <c r="S69" i="9" s="1"/>
  <c r="G30" i="1"/>
  <c r="O20" i="7" s="1"/>
  <c r="S47" i="9"/>
  <c r="T57" i="9"/>
  <c r="T59" i="9" s="1"/>
  <c r="G40" i="1"/>
  <c r="G46" i="1" s="1"/>
  <c r="S46" i="9"/>
  <c r="S71" i="9" s="1"/>
  <c r="S40" i="9"/>
  <c r="G43" i="1" s="1"/>
  <c r="O25" i="7" s="1"/>
  <c r="O26" i="7"/>
  <c r="G49" i="1"/>
  <c r="G39" i="1"/>
  <c r="T20" i="9" l="1"/>
  <c r="T74" i="9" s="1"/>
  <c r="T76" i="9" s="1"/>
  <c r="O24" i="7"/>
  <c r="G45" i="1"/>
  <c r="T21" i="9" l="1"/>
  <c r="T75" i="9" s="1"/>
  <c r="T22" i="9" l="1"/>
  <c r="T31" i="9" l="1"/>
  <c r="T25" i="9"/>
  <c r="T33" i="9" s="1"/>
  <c r="T30" i="9"/>
  <c r="T32" i="9"/>
  <c r="T29" i="9"/>
  <c r="T41" i="9" l="1"/>
  <c r="T67" i="9" s="1"/>
  <c r="T69" i="9" s="1"/>
  <c r="T37" i="9"/>
  <c r="T46" i="9" s="1"/>
  <c r="T65" i="9"/>
  <c r="T39" i="9"/>
  <c r="T48" i="9" s="1"/>
  <c r="T38" i="9"/>
  <c r="T28" i="9"/>
  <c r="U52" i="9"/>
  <c r="U55" i="9" s="1"/>
  <c r="T42" i="9"/>
  <c r="U56" i="9" l="1"/>
  <c r="T40" i="9"/>
  <c r="T49" i="9"/>
  <c r="T66" i="9"/>
  <c r="T68" i="9" s="1"/>
  <c r="T64" i="9"/>
  <c r="T36" i="9"/>
  <c r="T47" i="9"/>
  <c r="U57" i="9"/>
  <c r="T71" i="9" l="1"/>
  <c r="U20" i="9" s="1"/>
  <c r="U74" i="9" s="1"/>
  <c r="U76" i="9" s="1"/>
  <c r="U59" i="9"/>
  <c r="U21" i="9" l="1"/>
  <c r="U75" i="9" s="1"/>
  <c r="U22" i="9" l="1"/>
  <c r="U25" i="9" s="1"/>
  <c r="U32" i="9" l="1"/>
  <c r="U29" i="9"/>
  <c r="U30" i="9"/>
  <c r="U31" i="9"/>
  <c r="U28" i="9"/>
  <c r="U33" i="9"/>
  <c r="U39" i="9" l="1"/>
  <c r="U48" i="9" s="1"/>
  <c r="U64" i="9"/>
  <c r="U65" i="9"/>
  <c r="U37" i="9"/>
  <c r="V56" i="9" s="1"/>
  <c r="U41" i="9"/>
  <c r="U49" i="9" s="1"/>
  <c r="U38" i="9"/>
  <c r="V57" i="9" s="1"/>
  <c r="U42" i="9"/>
  <c r="V52" i="9"/>
  <c r="V55" i="9" s="1"/>
  <c r="U36" i="9"/>
  <c r="U46" i="9" l="1"/>
  <c r="U66" i="9"/>
  <c r="U68" i="9" s="1"/>
  <c r="U67" i="9"/>
  <c r="U69" i="9" s="1"/>
  <c r="V59" i="9"/>
  <c r="U40" i="9"/>
  <c r="U47" i="9"/>
  <c r="U71" i="9" l="1"/>
  <c r="V20" i="9" s="1"/>
  <c r="V74" i="9" s="1"/>
  <c r="V76" i="9" s="1"/>
  <c r="V21" i="9" l="1"/>
  <c r="V75" i="9" s="1"/>
  <c r="V22" i="9" l="1"/>
  <c r="V30" i="9" s="1"/>
  <c r="V31" i="9" l="1"/>
  <c r="V25" i="9"/>
  <c r="V33" i="9" s="1"/>
  <c r="V32" i="9"/>
  <c r="V41" i="9" s="1"/>
  <c r="V49" i="9" s="1"/>
  <c r="V29" i="9"/>
  <c r="V37" i="9" s="1"/>
  <c r="W56" i="9" s="1"/>
  <c r="H34" i="1" s="1"/>
  <c r="V65" i="9"/>
  <c r="V38" i="9"/>
  <c r="W57" i="9" s="1"/>
  <c r="H35" i="1" s="1"/>
  <c r="V28" i="9"/>
  <c r="V39" i="9"/>
  <c r="V48" i="9" s="1"/>
  <c r="V46" i="9" l="1"/>
  <c r="V64" i="9"/>
  <c r="W59" i="9"/>
  <c r="H37" i="1" s="1"/>
  <c r="P23" i="7" s="1"/>
  <c r="V47" i="9"/>
  <c r="V67" i="9"/>
  <c r="V69" i="9" s="1"/>
  <c r="V66" i="9"/>
  <c r="V68" i="9" s="1"/>
  <c r="V36" i="9"/>
  <c r="W52" i="9"/>
  <c r="W55" i="9" s="1"/>
  <c r="H33" i="1" s="1"/>
  <c r="P22" i="7" s="1"/>
  <c r="V42" i="9"/>
  <c r="V40" i="9"/>
  <c r="V71" i="9" l="1"/>
  <c r="W20" i="9" s="1"/>
  <c r="W21" i="9" l="1"/>
  <c r="W75" i="9" s="1"/>
  <c r="H54" i="1" s="1"/>
  <c r="W74" i="9"/>
  <c r="W22" i="9" l="1"/>
  <c r="W76" i="9"/>
  <c r="H53" i="1"/>
  <c r="G11" i="2"/>
  <c r="P7" i="7" s="1"/>
  <c r="H23" i="1"/>
  <c r="W32" i="9" l="1"/>
  <c r="W29" i="9"/>
  <c r="W25" i="9"/>
  <c r="W33" i="9" s="1"/>
  <c r="X52" i="9" s="1"/>
  <c r="X55" i="9" s="1"/>
  <c r="W30" i="9"/>
  <c r="W31" i="9"/>
  <c r="P18" i="7"/>
  <c r="H21" i="1"/>
  <c r="P16" i="7" s="1"/>
  <c r="G12" i="2"/>
  <c r="P6" i="7" s="1"/>
  <c r="G10" i="2"/>
  <c r="H55" i="1"/>
  <c r="W39" i="9" l="1"/>
  <c r="H42" i="1" s="1"/>
  <c r="H48" i="1" s="1"/>
  <c r="H29" i="1"/>
  <c r="W65" i="9"/>
  <c r="H28" i="1"/>
  <c r="W37" i="9"/>
  <c r="H40" i="1" s="1"/>
  <c r="H46" i="1" s="1"/>
  <c r="H27" i="1"/>
  <c r="W41" i="9"/>
  <c r="W49" i="9" s="1"/>
  <c r="H31" i="1"/>
  <c r="P21" i="7" s="1"/>
  <c r="W28" i="9"/>
  <c r="W38" i="9"/>
  <c r="X57" i="9" s="1"/>
  <c r="W66" i="9"/>
  <c r="W68" i="9" s="1"/>
  <c r="W48" i="9"/>
  <c r="P5" i="7"/>
  <c r="G13" i="2"/>
  <c r="P8" i="7" s="1"/>
  <c r="H22" i="1"/>
  <c r="P17" i="7" s="1"/>
  <c r="W42" i="9"/>
  <c r="H30" i="1" l="1"/>
  <c r="P20" i="7" s="1"/>
  <c r="X56" i="9"/>
  <c r="X59" i="9" s="1"/>
  <c r="W46" i="9"/>
  <c r="W47" i="9"/>
  <c r="W64" i="9"/>
  <c r="H26" i="1"/>
  <c r="P19" i="7" s="1"/>
  <c r="W67" i="9"/>
  <c r="W69" i="9" s="1"/>
  <c r="H44" i="1"/>
  <c r="H49" i="1" s="1"/>
  <c r="H41" i="1"/>
  <c r="H47" i="1" s="1"/>
  <c r="W40" i="9"/>
  <c r="H43" i="1" s="1"/>
  <c r="P25" i="7" s="1"/>
  <c r="W36" i="9"/>
  <c r="H39" i="1" s="1"/>
  <c r="W71" i="9" l="1"/>
  <c r="X20" i="9" s="1"/>
  <c r="X74" i="9" s="1"/>
  <c r="P26" i="7"/>
  <c r="P24" i="7"/>
  <c r="H45" i="1"/>
  <c r="X21" i="9" l="1"/>
  <c r="X22" i="9" s="1"/>
  <c r="X76" i="9"/>
  <c r="X75" i="9" l="1"/>
  <c r="X25" i="9"/>
  <c r="X29" i="9"/>
  <c r="X32" i="9"/>
  <c r="X31" i="9"/>
  <c r="X30" i="9"/>
  <c r="X38" i="9" l="1"/>
  <c r="Y57" i="9" s="1"/>
  <c r="X37" i="9"/>
  <c r="X46" i="9" s="1"/>
  <c r="X39" i="9"/>
  <c r="X41" i="9"/>
  <c r="X49" i="9" s="1"/>
  <c r="X65" i="9"/>
  <c r="X33" i="9"/>
  <c r="X28" i="9"/>
  <c r="X47" i="9" l="1"/>
  <c r="Y56" i="9"/>
  <c r="X67" i="9"/>
  <c r="X69" i="9" s="1"/>
  <c r="X40" i="9"/>
  <c r="Y59" i="9"/>
  <c r="X64" i="9"/>
  <c r="Y52" i="9"/>
  <c r="Y55" i="9" s="1"/>
  <c r="X36" i="9"/>
  <c r="X42" i="9"/>
  <c r="X48" i="9"/>
  <c r="X66" i="9"/>
  <c r="X68" i="9" s="1"/>
  <c r="X71" i="9" l="1"/>
  <c r="Y20" i="9" s="1"/>
  <c r="Y21" i="9" l="1"/>
  <c r="Y74" i="9"/>
  <c r="Y76" i="9" l="1"/>
  <c r="Y75" i="9"/>
  <c r="Y22" i="9"/>
  <c r="Y32" i="9" l="1"/>
  <c r="Y41" i="9" s="1"/>
  <c r="Y49" i="9" s="1"/>
  <c r="Y31" i="9"/>
  <c r="Y30" i="9"/>
  <c r="Y25" i="9"/>
  <c r="Y29" i="9"/>
  <c r="Y39" i="9" l="1"/>
  <c r="Y48" i="9" s="1"/>
  <c r="Y37" i="9"/>
  <c r="Z56" i="9" s="1"/>
  <c r="Y28" i="9"/>
  <c r="Y33" i="9"/>
  <c r="Y38" i="9"/>
  <c r="Y65" i="9"/>
  <c r="Y67" i="9"/>
  <c r="Y69" i="9" s="1"/>
  <c r="Y66" i="9" l="1"/>
  <c r="Y68" i="9" s="1"/>
  <c r="Y46" i="9"/>
  <c r="Z57" i="9"/>
  <c r="Y47" i="9"/>
  <c r="Z52" i="9"/>
  <c r="Z55" i="9" s="1"/>
  <c r="Y36" i="9"/>
  <c r="Y42" i="9"/>
  <c r="Y64" i="9"/>
  <c r="Y40" i="9"/>
  <c r="Z59" i="9" l="1"/>
  <c r="Y71" i="9"/>
  <c r="Z20" i="9" s="1"/>
  <c r="Z74" i="9" s="1"/>
  <c r="Z76" i="9" l="1"/>
  <c r="Z21" i="9"/>
  <c r="Z75" i="9" s="1"/>
  <c r="Z22" i="9" l="1"/>
  <c r="Z30" i="9" s="1"/>
  <c r="Z32" i="9" l="1"/>
  <c r="Z41" i="9" s="1"/>
  <c r="Z49" i="9" s="1"/>
  <c r="Z31" i="9"/>
  <c r="Z29" i="9"/>
  <c r="Z25" i="9"/>
  <c r="Z28" i="9" s="1"/>
  <c r="Z38" i="9"/>
  <c r="Z65" i="9"/>
  <c r="Z39" i="9"/>
  <c r="Z48" i="9" s="1"/>
  <c r="Z37" i="9" l="1"/>
  <c r="Z46" i="9" s="1"/>
  <c r="Z64" i="9"/>
  <c r="Z33" i="9"/>
  <c r="Z36" i="9" s="1"/>
  <c r="Z67" i="9"/>
  <c r="Z69" i="9" s="1"/>
  <c r="Z66" i="9"/>
  <c r="Z68" i="9" s="1"/>
  <c r="AA57" i="9"/>
  <c r="I35" i="1" s="1"/>
  <c r="Z47" i="9"/>
  <c r="AA56" i="9" l="1"/>
  <c r="I34" i="1" s="1"/>
  <c r="Z40" i="9"/>
  <c r="Z42" i="9"/>
  <c r="Z71" i="9" s="1"/>
  <c r="AA20" i="9" s="1"/>
  <c r="AA52" i="9"/>
  <c r="AA55" i="9" s="1"/>
  <c r="I33" i="1" s="1"/>
  <c r="Q22" i="7" s="1"/>
  <c r="AA59" i="9" l="1"/>
  <c r="I37" i="1" s="1"/>
  <c r="Q23" i="7" s="1"/>
  <c r="AA74" i="9"/>
  <c r="AA76" i="9" s="1"/>
  <c r="AA21" i="9"/>
  <c r="AA75" i="9" s="1"/>
  <c r="I54" i="1" s="1"/>
  <c r="AA22" i="9" l="1"/>
  <c r="I53" i="1"/>
  <c r="I23" i="1"/>
  <c r="H11" i="2"/>
  <c r="Q7" i="7" s="1"/>
  <c r="AA25" i="9" l="1"/>
  <c r="AA28" i="9" s="1"/>
  <c r="AA64" i="9" s="1"/>
  <c r="AA29" i="9"/>
  <c r="AA30" i="9"/>
  <c r="AA38" i="9" s="1"/>
  <c r="AA47" i="9" s="1"/>
  <c r="AA31" i="9"/>
  <c r="I29" i="1" s="1"/>
  <c r="AA32" i="9"/>
  <c r="I55" i="1"/>
  <c r="H12" i="2"/>
  <c r="Q6" i="7" s="1"/>
  <c r="H10" i="2"/>
  <c r="H13" i="2" s="1"/>
  <c r="Q8" i="7" s="1"/>
  <c r="I21" i="1"/>
  <c r="Q16" i="7" s="1"/>
  <c r="Q18" i="7"/>
  <c r="AA33" i="9"/>
  <c r="AA39" i="9" l="1"/>
  <c r="I42" i="1" s="1"/>
  <c r="I48" i="1" s="1"/>
  <c r="I26" i="1"/>
  <c r="Q19" i="7" s="1"/>
  <c r="AA41" i="9"/>
  <c r="AA67" i="9" s="1"/>
  <c r="AA69" i="9" s="1"/>
  <c r="I31" i="1"/>
  <c r="Q21" i="7" s="1"/>
  <c r="AA65" i="9"/>
  <c r="I28" i="1"/>
  <c r="AA37" i="9"/>
  <c r="I40" i="1" s="1"/>
  <c r="I46" i="1" s="1"/>
  <c r="I27" i="1"/>
  <c r="I30" i="1" s="1"/>
  <c r="Q20" i="7" s="1"/>
  <c r="Q5" i="7"/>
  <c r="I22" i="1"/>
  <c r="Q17" i="7" s="1"/>
  <c r="I41" i="1"/>
  <c r="I47" i="1" s="1"/>
  <c r="AA48" i="9"/>
  <c r="AA36" i="9"/>
  <c r="AA42" i="9"/>
  <c r="AA66" i="9" l="1"/>
  <c r="AA68" i="9" s="1"/>
  <c r="AA46" i="9"/>
  <c r="I44" i="1"/>
  <c r="AA49" i="9"/>
  <c r="AA40" i="9"/>
  <c r="I43" i="1" s="1"/>
  <c r="Q25" i="7" s="1"/>
  <c r="I39" i="1"/>
  <c r="I45" i="1" s="1"/>
  <c r="AA71" i="9" l="1"/>
  <c r="Q26" i="7"/>
  <c r="I49" i="1"/>
  <c r="Q24" i="7"/>
</calcChain>
</file>

<file path=xl/sharedStrings.xml><?xml version="1.0" encoding="utf-8"?>
<sst xmlns="http://schemas.openxmlformats.org/spreadsheetml/2006/main" count="601" uniqueCount="328">
  <si>
    <t>INPUTS</t>
  </si>
  <si>
    <t>Total revenues measures</t>
  </si>
  <si>
    <t>Total program spending measures</t>
  </si>
  <si>
    <t>Net change on primary balance</t>
  </si>
  <si>
    <t>Fiscal year</t>
  </si>
  <si>
    <t>$ million</t>
  </si>
  <si>
    <t>Back-end</t>
  </si>
  <si>
    <t>OUTPUT</t>
  </si>
  <si>
    <t>Cumulative surplus</t>
  </si>
  <si>
    <t>Surplus for the year*</t>
  </si>
  <si>
    <t>_date_</t>
  </si>
  <si>
    <t>Marginal T-Bills Rate</t>
  </si>
  <si>
    <t>Marginal LT Bonds Rate</t>
  </si>
  <si>
    <t>Marginal 10yr Bonds Rate</t>
  </si>
  <si>
    <t>Debt Model Projections (Quarterly):</t>
  </si>
  <si>
    <t>RGCBLTB_0</t>
  </si>
  <si>
    <t>RGCB10B_0</t>
  </si>
  <si>
    <t>RTB_0</t>
  </si>
  <si>
    <t>Bond type</t>
  </si>
  <si>
    <t>2-Year</t>
  </si>
  <si>
    <t>3-Year</t>
  </si>
  <si>
    <t>5-Year</t>
  </si>
  <si>
    <t>2019-20</t>
  </si>
  <si>
    <t>2020-21</t>
  </si>
  <si>
    <t>2021-22</t>
  </si>
  <si>
    <t>2022-23</t>
  </si>
  <si>
    <t>Overall New Debt</t>
  </si>
  <si>
    <t>Rationale</t>
  </si>
  <si>
    <t>Primary balance * marginal eff. Int. rate</t>
  </si>
  <si>
    <t>Previous debt stock * running int. rate</t>
  </si>
  <si>
    <t>Primary balance + debt charges on primary balance + debt charges on existing debt stock</t>
  </si>
  <si>
    <t>From fiscal model</t>
  </si>
  <si>
    <t>Calculated from fiscal model outputs</t>
  </si>
  <si>
    <t>2023-24</t>
  </si>
  <si>
    <t>2024-25</t>
  </si>
  <si>
    <t>2025-26</t>
  </si>
  <si>
    <t>2026-27</t>
  </si>
  <si>
    <t>2027-28</t>
  </si>
  <si>
    <t>Assumed Market Debt Shares:</t>
  </si>
  <si>
    <t>T-Bills</t>
  </si>
  <si>
    <t>Long-term Bonds</t>
  </si>
  <si>
    <t>Medium-term Bonds</t>
  </si>
  <si>
    <t>Marginal Interest Rate Projections:</t>
  </si>
  <si>
    <t>Cumulative Public Debt Charges</t>
  </si>
  <si>
    <t>Cumulative Surplus</t>
  </si>
  <si>
    <t>90-day treasury bills rate</t>
  </si>
  <si>
    <t>Long-term bond rate (new borrowing)</t>
  </si>
  <si>
    <t>Running Applicable Interest Rate: Long-Term</t>
  </si>
  <si>
    <t>Running Applicable Interest Rate: All Debt</t>
  </si>
  <si>
    <t>Annual Debt Charges</t>
  </si>
  <si>
    <t>Long-term bond stock</t>
  </si>
  <si>
    <t>Marginal effective interest rate (all new debt)</t>
  </si>
  <si>
    <t>Cumulative public debt charges</t>
  </si>
  <si>
    <t>Annual public debt charges</t>
  </si>
  <si>
    <t>Overall Composition</t>
  </si>
  <si>
    <t>T-bills</t>
  </si>
  <si>
    <t>Share (2022-23)</t>
  </si>
  <si>
    <t>2025Q2</t>
  </si>
  <si>
    <t>2025Q3</t>
  </si>
  <si>
    <t>2025Q4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</si>
  <si>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</si>
  <si>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</si>
  <si>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</si>
  <si>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</si>
  <si>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</si>
  <si>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</si>
  <si>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</si>
  <si>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</si>
  <si>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</si>
  <si>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</si>
  <si>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2028Q3</t>
  </si>
  <si>
    <t>2028Q4</t>
  </si>
  <si>
    <t>2029Q1</t>
  </si>
  <si>
    <t>2029Q2</t>
  </si>
  <si>
    <t>2029Q3</t>
  </si>
  <si>
    <t>2029Q4</t>
  </si>
  <si>
    <t>2028-29</t>
  </si>
  <si>
    <t>2029-30</t>
  </si>
  <si>
    <t>2030-31</t>
  </si>
  <si>
    <t>Actual</t>
  </si>
  <si>
    <t>Estimated</t>
  </si>
  <si>
    <t>Treasury bills</t>
  </si>
  <si>
    <t>2-year</t>
  </si>
  <si>
    <t>3-year</t>
  </si>
  <si>
    <t>5-year</t>
  </si>
  <si>
    <t>10-year</t>
  </si>
  <si>
    <t>30-year</t>
  </si>
  <si>
    <t>Green bonds</t>
  </si>
  <si>
    <t>-</t>
  </si>
  <si>
    <t>Total bonds</t>
  </si>
  <si>
    <t>Total gross issuance</t>
  </si>
  <si>
    <t>Shares</t>
  </si>
  <si>
    <t>23-24</t>
  </si>
  <si>
    <t>22-23</t>
  </si>
  <si>
    <t>21-22</t>
  </si>
  <si>
    <t>2018-19</t>
  </si>
  <si>
    <t>LT</t>
  </si>
  <si>
    <t>Based on the latest Debt Management Strategy</t>
  </si>
  <si>
    <t>Total Bonds</t>
  </si>
  <si>
    <t>Share (2023-24)</t>
  </si>
  <si>
    <t>Medium-term Bond Breakdown</t>
  </si>
  <si>
    <t>share (2021-22)</t>
  </si>
  <si>
    <t>Total MT bond expiring</t>
  </si>
  <si>
    <t>2-year bond expiring</t>
  </si>
  <si>
    <t>3-year bond expiring</t>
  </si>
  <si>
    <t>5-year bond expiring</t>
  </si>
  <si>
    <t>Long-term bonds: issuance</t>
  </si>
  <si>
    <t>(New borrowing requirement + total expiring debt) * share of T-bills</t>
  </si>
  <si>
    <t>(New borrowing requirement + total expiring debt) * share of LT bonds</t>
  </si>
  <si>
    <t>Equal to current year issuance</t>
  </si>
  <si>
    <t>Previous year stock + this year issuance - this year expiring</t>
  </si>
  <si>
    <t>Sum of 2y, 3y, 5y bonds expiring</t>
  </si>
  <si>
    <t>Government Bonds Composition (Isssuance &amp; Stock)</t>
  </si>
  <si>
    <t>Fiscal Model Imports</t>
  </si>
  <si>
    <t>Stock percentage: T-bills</t>
  </si>
  <si>
    <t>Stock percentage: Long-term bonds</t>
  </si>
  <si>
    <t>T-bills stock / total debt stock</t>
  </si>
  <si>
    <t>LT bond stock / total debt stock</t>
  </si>
  <si>
    <t>Weighted avg of T-bills rate and MT, LT running rates</t>
  </si>
  <si>
    <t>*Equals net change in primary balance + annual public debt charges. Includes debt charges on deficits/surplus from previous years resulting from policies implemented by the party platform</t>
  </si>
  <si>
    <t>Debt Expiring Amounts</t>
  </si>
  <si>
    <t>Interest of Expiring and Remaining MT Bonds</t>
  </si>
  <si>
    <t>Share new * new rate + share old * non-expiring rate</t>
  </si>
  <si>
    <t>Share of new long-term bonds</t>
  </si>
  <si>
    <t>Issuance/Stock, between 0 and 1</t>
  </si>
  <si>
    <t>2017-18</t>
  </si>
  <si>
    <t>2016-17</t>
  </si>
  <si>
    <t>2015-16</t>
  </si>
  <si>
    <t>2014-15</t>
  </si>
  <si>
    <t>2013-14</t>
  </si>
  <si>
    <t>2012-13</t>
  </si>
  <si>
    <t>Historical T-bill Issuance Shares</t>
  </si>
  <si>
    <t>Historical T-bill Stock Shares (End of Fiscal Year)</t>
  </si>
  <si>
    <t>type</t>
  </si>
  <si>
    <t>group_name_en</t>
  </si>
  <si>
    <t>group_name_fr</t>
  </si>
  <si>
    <t>label_en</t>
  </si>
  <si>
    <t>label_fr</t>
  </si>
  <si>
    <t>description_en</t>
  </si>
  <si>
    <t>description_fr</t>
  </si>
  <si>
    <t>warning_en</t>
  </si>
  <si>
    <t>warning_fr</t>
  </si>
  <si>
    <t>2026-2027</t>
  </si>
  <si>
    <t>id</t>
  </si>
  <si>
    <t>input</t>
  </si>
  <si>
    <t>unit</t>
  </si>
  <si>
    <t>Revenu total provenant de nouvelles mesures</t>
  </si>
  <si>
    <t>total_revenue_measures</t>
  </si>
  <si>
    <t>Dépense totale provenant de nouvelles mesures</t>
  </si>
  <si>
    <t>millions</t>
  </si>
  <si>
    <t>total_program_spending_measures</t>
  </si>
  <si>
    <t>2027-2028</t>
  </si>
  <si>
    <t>2028-2029</t>
  </si>
  <si>
    <t>outputs</t>
  </si>
  <si>
    <t>Frais annuels de la dette publique</t>
  </si>
  <si>
    <t>Cumulative surplus/(deficit)</t>
  </si>
  <si>
    <t>Surplus/(déficit) cumulatif</t>
  </si>
  <si>
    <t>is_static</t>
  </si>
  <si>
    <t>Surplus/(déficit) pour l'année</t>
  </si>
  <si>
    <t>Inclut le service de la dette publique sur le surplus/(déficit) des années précédentes résultant des politiques mises en œuvre.</t>
  </si>
  <si>
    <t>Includes public debt charges on surplus/(deficit) from previous years resulting from the implemented policies.</t>
  </si>
  <si>
    <t>Frais cumulatifs de la dette publique</t>
  </si>
  <si>
    <t>backend</t>
  </si>
  <si>
    <t>Taux des bons du Trésor à 90 jours</t>
  </si>
  <si>
    <t>Taux d'intérêt</t>
  </si>
  <si>
    <t>Interest rates</t>
  </si>
  <si>
    <t>Long-term bonds rate</t>
  </si>
  <si>
    <t>Surplus for the year</t>
  </si>
  <si>
    <t>Taux des obligations à long terme</t>
  </si>
  <si>
    <t>Marginal effective interest rate</t>
  </si>
  <si>
    <t>Taux d'intérêt marginal effectif</t>
  </si>
  <si>
    <t>Nouvelle dette globale</t>
  </si>
  <si>
    <t>Overall new debt</t>
  </si>
  <si>
    <t>Encours de la dette</t>
  </si>
  <si>
    <t>The row will appear in either the `input` section, general `outputs` or backend depending of the value specified here.</t>
  </si>
  <si>
    <t>A user visible label in english.</t>
  </si>
  <si>
    <t>Field</t>
  </si>
  <si>
    <t>Description</t>
  </si>
  <si>
    <t>Required</t>
  </si>
  <si>
    <t>A user visible label in French</t>
  </si>
  <si>
    <t>A unique identifier for this aspect. Can be any chain of characters unless the aspect is an input (only letters, underscores and numbers are accepted). Not visible to the end user.</t>
  </si>
  <si>
    <t xml:space="preserve"> When type is `backend`</t>
  </si>
  <si>
    <t>Aspects will be grouped under this use visible group name. Use the same group name for multiple aspects to group them together.</t>
  </si>
  <si>
    <t>An optional user visible description. Will appear under the aspect label (and unit, if specified) with a gray tone.</t>
  </si>
  <si>
    <t>An optional user visible warning. Will appear under the aspect label, unit (if specified) and description (if specified) with a yellow tone.</t>
  </si>
  <si>
    <t>When TRUE, the values for a given aspect will appear within a grayed out box. Use to display constants and other non-variable values (eg. Imports from an external model).</t>
  </si>
  <si>
    <t>Can be `millions` or `percents`; will be localized to the end user's preference (and multiply values x100 if percents).</t>
  </si>
  <si>
    <t>[Fiscal years]</t>
  </si>
  <si>
    <t>A series of fical year columns must be included. Fiscal year headers MUST adopt the following format: `YYYY-YYYY`.</t>
  </si>
  <si>
    <t>A `machine_readable` sheet must be present and include the fields above.</t>
  </si>
  <si>
    <t xml:space="preserve"> The field headers MUST be on row 1.</t>
  </si>
  <si>
    <t>Empty rows are not allowed.</t>
  </si>
  <si>
    <t>User inputs should be set to 0 by default.</t>
  </si>
  <si>
    <t>Notes</t>
  </si>
  <si>
    <t>Changement net sur le solde primaire</t>
  </si>
  <si>
    <t>10-year bond rate</t>
  </si>
  <si>
    <t>Taux des obligations à 10 ans</t>
  </si>
  <si>
    <t>Public debt composition</t>
  </si>
  <si>
    <t>Composition de la dette publique</t>
  </si>
  <si>
    <t>Encours des bons du Trésor</t>
  </si>
  <si>
    <t>Encours des obligations à moyen terme</t>
  </si>
  <si>
    <t>Encours des obligations à long terme</t>
  </si>
  <si>
    <t>Surplus/(deficit) for the year</t>
  </si>
  <si>
    <t>24-25</t>
  </si>
  <si>
    <t>Marginal 2Y Bond Rate</t>
  </si>
  <si>
    <t>Marginal 3Y Bond Rate</t>
  </si>
  <si>
    <t>Marginal 5Y Bond Rate</t>
  </si>
  <si>
    <t>2 Year Bonds: issuance</t>
  </si>
  <si>
    <t>3 Year Bonds: issuance</t>
  </si>
  <si>
    <t>5 Year Bonds: issuance</t>
  </si>
  <si>
    <t xml:space="preserve">(New borrowing requirement + total expiring debt)  * share of 2Y bonds </t>
  </si>
  <si>
    <t xml:space="preserve">(New borrowing requirement + total expiring debt)  * share of 3Y bonds </t>
  </si>
  <si>
    <t xml:space="preserve">(New borrowing requirement + total expiring debt)  * share of 5Y bonds </t>
  </si>
  <si>
    <t>Stock percentage: 2Y bonds</t>
  </si>
  <si>
    <t>Stock percentage: 3Y bonds</t>
  </si>
  <si>
    <t>Stock percentage: 5Y bonds</t>
  </si>
  <si>
    <t>5Y bond stock / total debt stock</t>
  </si>
  <si>
    <t>2Y bond stock / total debt stock</t>
  </si>
  <si>
    <t>3Y bond stock / total debt stock</t>
  </si>
  <si>
    <t>Share of new 5Y bonds</t>
  </si>
  <si>
    <t>New financing requirement</t>
  </si>
  <si>
    <t>Running Applicable Interest Rate: 2Y Bonds</t>
  </si>
  <si>
    <t>Running Applicable Interest Rate: 3Y Bonds</t>
  </si>
  <si>
    <t>Weighted average of marginal 2Y bond rates in the last 2 years</t>
  </si>
  <si>
    <t>Weighted average of marginal 3Y bond rates in the last 3 years</t>
  </si>
  <si>
    <t>Running Applicable Interest Rate: 5Y Bonds</t>
  </si>
  <si>
    <t>2Y bond rate (new borrowing)</t>
  </si>
  <si>
    <t>3Y bond rate (new borrowing)</t>
  </si>
  <si>
    <t>5Y bond rate (new borrowing)</t>
  </si>
  <si>
    <t>RGCB2B_0</t>
  </si>
  <si>
    <t>RGCB3B_0</t>
  </si>
  <si>
    <t>RGCB5B_0</t>
  </si>
  <si>
    <t>Sum of 2Y, 3Y, 5Y Stocks</t>
  </si>
  <si>
    <t>Interest on primary balances</t>
  </si>
  <si>
    <t>Interest on existing cumulative surplus/deficit</t>
  </si>
  <si>
    <t>Sum of previous new borrowings (if there is a cumulative deficit), otherwize zero</t>
  </si>
  <si>
    <t>Outstanding debt</t>
  </si>
  <si>
    <t>T-bills outstanding</t>
  </si>
  <si>
    <t>Medium-term bonds outstanding</t>
  </si>
  <si>
    <t>Long-term bond outstanding</t>
  </si>
  <si>
    <t>Treasury bills outstanding</t>
  </si>
  <si>
    <t>Long-term bonds outstanding</t>
  </si>
  <si>
    <t>2Y bonds: outstanding</t>
  </si>
  <si>
    <t>3Y bonds: outstanding</t>
  </si>
  <si>
    <t>5Y bonds: outstanding</t>
  </si>
  <si>
    <t>Nouveau besoin de financement</t>
  </si>
  <si>
    <t>Quarter</t>
  </si>
  <si>
    <t>2030Q1</t>
  </si>
  <si>
    <t>Share of LT Bonds</t>
  </si>
  <si>
    <t>Share of T-bills</t>
  </si>
  <si>
    <t>Share of 2Y Bonds</t>
  </si>
  <si>
    <t>Share of 3Y Bonds</t>
  </si>
  <si>
    <t>Share of 5Y Bonds</t>
  </si>
  <si>
    <t>Marginal interest rate (all new debt)</t>
  </si>
  <si>
    <t>Marginal Interest Rate (All new debt)</t>
  </si>
  <si>
    <t>3 months T-bills: issuance</t>
  </si>
  <si>
    <t>Share of 3-month T-bills</t>
  </si>
  <si>
    <t>Total T-bills: issuance</t>
  </si>
  <si>
    <t>Sum of 3m, 6m, 1y T-bills</t>
  </si>
  <si>
    <t>Previous period stock + this year issuance - this year expiring</t>
  </si>
  <si>
    <t>3 months T-bills: outstanding</t>
  </si>
  <si>
    <t>Total T-bills expiring</t>
  </si>
  <si>
    <t>Same as current period issuance</t>
  </si>
  <si>
    <t>Total T-bills outstanding</t>
  </si>
  <si>
    <t>Sum of 3m, 6m, 1y T-bills outstanding</t>
  </si>
  <si>
    <t>3 month T-bills expiring</t>
  </si>
  <si>
    <t>issuance in previous period</t>
  </si>
  <si>
    <t>Issuance 2 years ago</t>
  </si>
  <si>
    <t>Issuance 3 years ago</t>
  </si>
  <si>
    <t>Issuance 5 years ago</t>
  </si>
  <si>
    <t>Stock percentage: 3 month T-bills</t>
  </si>
  <si>
    <t>3 month T-bills stock / total debt stock</t>
  </si>
  <si>
    <t>Running Applicable Interest Rate: 3 month T-bills</t>
  </si>
  <si>
    <t>Same as marginal rate</t>
  </si>
  <si>
    <t xml:space="preserve"> </t>
  </si>
  <si>
    <t>2030Q2</t>
  </si>
  <si>
    <t>25-26</t>
  </si>
  <si>
    <t>Estimate</t>
  </si>
  <si>
    <t>Projected</t>
  </si>
  <si>
    <t>Post 25-26</t>
  </si>
  <si>
    <t>Share 2024-25</t>
  </si>
  <si>
    <t>Share 2025-26</t>
  </si>
  <si>
    <t>Share 2026-27</t>
  </si>
  <si>
    <t>Post 2026-27</t>
  </si>
  <si>
    <t>Share Post 2026-27</t>
  </si>
  <si>
    <t>Medium Term Bonds Composition (volume)</t>
  </si>
  <si>
    <t>Medium Term Bonds Composition (percentage)</t>
  </si>
  <si>
    <t>Average</t>
  </si>
  <si>
    <t>2-year bond rate</t>
  </si>
  <si>
    <t>3-year bond rate</t>
  </si>
  <si>
    <t>5-year bond rate</t>
  </si>
  <si>
    <t>Taux des obligations à 2 ans</t>
  </si>
  <si>
    <t>Taux des obligations à 3 ans</t>
  </si>
  <si>
    <t>Taux des obligations à 5 ans</t>
  </si>
  <si>
    <t>Marginal Interest Rate (MT Bonds)</t>
  </si>
  <si>
    <t>Treasury bills issuance</t>
  </si>
  <si>
    <t>Medium-term bonds issuance</t>
  </si>
  <si>
    <t>MT bond rate (new borrowing)</t>
  </si>
  <si>
    <t>10Y bond rate (new borrowing)</t>
  </si>
  <si>
    <t>T-bills issuance</t>
  </si>
  <si>
    <t>2Y bonds issuance</t>
  </si>
  <si>
    <t>3Y bonds issuance</t>
  </si>
  <si>
    <t>5Y bonds issuance</t>
  </si>
  <si>
    <t>MT bonds issuance</t>
  </si>
  <si>
    <t>LT bonds issuance</t>
  </si>
  <si>
    <t>2Y bonds expiration</t>
  </si>
  <si>
    <t>3Y bonds expiration</t>
  </si>
  <si>
    <t>5Y bonds expiration</t>
  </si>
  <si>
    <t>MT bonds expiration</t>
  </si>
  <si>
    <t>Sum of 2Y, 3Y, 5Y issuances</t>
  </si>
  <si>
    <t>T-bills expiration</t>
  </si>
  <si>
    <t>Issuance in previous period</t>
  </si>
  <si>
    <t>Issuance 2y ago</t>
  </si>
  <si>
    <t>Issuance 3y ago</t>
  </si>
  <si>
    <t>Issuance 5y ago</t>
  </si>
  <si>
    <t>Sum of 2Y, 3Y, 5Y expirations</t>
  </si>
  <si>
    <t>Long-term bonds issuance</t>
  </si>
  <si>
    <t>Émissions de bons du trésor</t>
  </si>
  <si>
    <t>Émissions d'obligations à moyen terme</t>
  </si>
  <si>
    <t>Émissions d'obligations à long terme</t>
  </si>
  <si>
    <t>Échéances des bons du trésor</t>
  </si>
  <si>
    <t>Échéances des obligations à moyen terme</t>
  </si>
  <si>
    <t>Intérêt sur le surplus/(déficit)</t>
  </si>
  <si>
    <t>Interest on surplus/(deficit)</t>
  </si>
  <si>
    <t>2029-2030</t>
  </si>
  <si>
    <t>2030-2031</t>
  </si>
  <si>
    <t>Treasury bills expiring</t>
  </si>
  <si>
    <t>Medium-term bonds expiring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</si>
</sst>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"/>
    <numFmt numFmtId="166" formatCode="_(* #,##0.0_);_(* \(#,##0.0\);_(* &quot;-&quot;??_);_(@_)"/>
    <numFmt numFmtId="167" formatCode="0.0%"/>
    <numFmt numFmtId="168" formatCode="_(* #,##0.00000000_);_(* \(#,##0.000000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8"/>
      <color rgb="FFFFFFFF"/>
      <name val="Noto Sans"/>
      <family val="2"/>
    </font>
    <font>
      <b/>
      <sz val="8"/>
      <color rgb="FF333333"/>
      <name val="Noto Sans"/>
      <family val="2"/>
    </font>
    <font>
      <sz val="8"/>
      <color rgb="FF333333"/>
      <name val="Noto Sans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43A4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rgb="FFDDDDDD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2" fillId="2" borderId="0" xfId="0" applyFont="1" applyFill="1"/>
    <xf numFmtId="0" fontId="0" fillId="2" borderId="0" xfId="0" applyFill="1"/>
    <xf numFmtId="0" fontId="4" fillId="3" borderId="0" xfId="0" applyFont="1" applyFill="1" applyAlignment="1">
      <alignment horizontal="left" indent="1"/>
    </xf>
    <xf numFmtId="0" fontId="0" fillId="3" borderId="0" xfId="0" applyFill="1"/>
    <xf numFmtId="0" fontId="3" fillId="4" borderId="0" xfId="0" applyFont="1" applyFill="1" applyAlignment="1">
      <alignment horizontal="left"/>
    </xf>
    <xf numFmtId="0" fontId="3" fillId="4" borderId="0" xfId="0" applyFont="1" applyFill="1"/>
    <xf numFmtId="0" fontId="0" fillId="5" borderId="0" xfId="0" applyFill="1"/>
    <xf numFmtId="164" fontId="0" fillId="5" borderId="0" xfId="1" applyFont="1" applyFill="1"/>
    <xf numFmtId="165" fontId="0" fillId="5" borderId="0" xfId="0" applyNumberFormat="1" applyFill="1"/>
    <xf numFmtId="0" fontId="0" fillId="6" borderId="0" xfId="0" applyFill="1" applyBorder="1"/>
    <xf numFmtId="165" fontId="0" fillId="6" borderId="0" xfId="0" applyNumberFormat="1" applyFill="1" applyBorder="1"/>
    <xf numFmtId="0" fontId="0" fillId="7" borderId="0" xfId="0" applyFill="1"/>
    <xf numFmtId="165" fontId="0" fillId="7" borderId="0" xfId="0" applyNumberFormat="1" applyFill="1"/>
    <xf numFmtId="0" fontId="0" fillId="0" borderId="0" xfId="0" applyAlignment="1">
      <alignment wrapText="1"/>
    </xf>
    <xf numFmtId="1" fontId="0" fillId="0" borderId="0" xfId="0" applyNumberFormat="1"/>
    <xf numFmtId="166" fontId="0" fillId="0" borderId="0" xfId="0" applyNumberFormat="1"/>
    <xf numFmtId="37" fontId="0" fillId="0" borderId="0" xfId="0" applyNumberFormat="1"/>
    <xf numFmtId="14" fontId="0" fillId="0" borderId="0" xfId="0" applyNumberFormat="1"/>
    <xf numFmtId="10" fontId="0" fillId="0" borderId="0" xfId="0" applyNumberFormat="1"/>
    <xf numFmtId="0" fontId="3" fillId="0" borderId="0" xfId="0" applyFont="1"/>
    <xf numFmtId="14" fontId="3" fillId="0" borderId="0" xfId="0" applyNumberFormat="1" applyFont="1"/>
    <xf numFmtId="0" fontId="0" fillId="0" borderId="0" xfId="0" applyFont="1"/>
    <xf numFmtId="2" fontId="0" fillId="0" borderId="0" xfId="0" applyNumberFormat="1"/>
    <xf numFmtId="2" fontId="3" fillId="0" borderId="0" xfId="0" applyNumberFormat="1" applyFont="1"/>
    <xf numFmtId="0" fontId="0" fillId="5" borderId="0" xfId="0" applyFont="1" applyFill="1"/>
    <xf numFmtId="0" fontId="5" fillId="8" borderId="0" xfId="0" applyFont="1" applyFill="1" applyAlignment="1">
      <alignment horizontal="left"/>
    </xf>
    <xf numFmtId="0" fontId="3" fillId="8" borderId="0" xfId="0" applyFont="1" applyFill="1"/>
    <xf numFmtId="0" fontId="5" fillId="8" borderId="0" xfId="0" applyFont="1" applyFill="1"/>
    <xf numFmtId="0" fontId="0" fillId="8" borderId="0" xfId="0" applyFill="1"/>
    <xf numFmtId="165" fontId="0" fillId="8" borderId="0" xfId="0" applyNumberFormat="1" applyFill="1"/>
    <xf numFmtId="2" fontId="0" fillId="5" borderId="0" xfId="0" applyNumberFormat="1" applyFill="1"/>
    <xf numFmtId="0" fontId="0" fillId="5" borderId="0" xfId="0" applyFont="1" applyFill="1" applyAlignment="1">
      <alignment horizontal="left"/>
    </xf>
    <xf numFmtId="2" fontId="0" fillId="5" borderId="0" xfId="0" applyNumberFormat="1" applyFont="1" applyFill="1"/>
    <xf numFmtId="0" fontId="7" fillId="5" borderId="0" xfId="0" applyFont="1" applyFill="1" applyAlignment="1">
      <alignment horizontal="left" wrapText="1"/>
    </xf>
    <xf numFmtId="0" fontId="7" fillId="5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8" fillId="2" borderId="0" xfId="0" applyFont="1" applyFill="1" applyAlignment="1">
      <alignment wrapText="1"/>
    </xf>
    <xf numFmtId="0" fontId="9" fillId="3" borderId="0" xfId="0" applyFont="1" applyFill="1" applyAlignment="1">
      <alignment horizontal="left" wrapText="1"/>
    </xf>
    <xf numFmtId="0" fontId="10" fillId="4" borderId="0" xfId="0" applyFont="1" applyFill="1" applyAlignment="1">
      <alignment horizontal="left" wrapText="1"/>
    </xf>
    <xf numFmtId="0" fontId="11" fillId="8" borderId="0" xfId="0" applyFont="1" applyFill="1" applyAlignment="1">
      <alignment horizontal="left" wrapText="1"/>
    </xf>
    <xf numFmtId="0" fontId="11" fillId="8" borderId="0" xfId="0" applyFont="1" applyFill="1" applyAlignment="1">
      <alignment wrapText="1"/>
    </xf>
    <xf numFmtId="0" fontId="7" fillId="6" borderId="0" xfId="0" applyFont="1" applyFill="1" applyBorder="1" applyAlignment="1">
      <alignment wrapText="1"/>
    </xf>
    <xf numFmtId="0" fontId="7" fillId="7" borderId="0" xfId="0" applyFont="1" applyFill="1" applyAlignment="1">
      <alignment wrapText="1"/>
    </xf>
    <xf numFmtId="0" fontId="7" fillId="8" borderId="0" xfId="0" applyFont="1" applyFill="1" applyAlignment="1">
      <alignment wrapText="1"/>
    </xf>
    <xf numFmtId="2" fontId="0" fillId="8" borderId="0" xfId="0" applyNumberFormat="1" applyFill="1"/>
    <xf numFmtId="10" fontId="0" fillId="0" borderId="0" xfId="0" applyNumberFormat="1" applyFont="1"/>
    <xf numFmtId="2" fontId="0" fillId="0" borderId="0" xfId="0" applyNumberFormat="1" applyFont="1"/>
    <xf numFmtId="0" fontId="0" fillId="8" borderId="0" xfId="0" applyFont="1" applyFill="1"/>
    <xf numFmtId="166" fontId="0" fillId="0" borderId="0" xfId="1" applyNumberFormat="1" applyFont="1"/>
    <xf numFmtId="0" fontId="12" fillId="10" borderId="1" xfId="0" applyFont="1" applyFill="1" applyBorder="1" applyAlignment="1">
      <alignment horizontal="right" wrapText="1"/>
    </xf>
    <xf numFmtId="0" fontId="12" fillId="10" borderId="0" xfId="0" applyFont="1" applyFill="1" applyBorder="1" applyAlignment="1">
      <alignment horizontal="right" wrapText="1"/>
    </xf>
    <xf numFmtId="0" fontId="0" fillId="0" borderId="0" xfId="0" applyAlignment="1">
      <alignment horizontal="right"/>
    </xf>
    <xf numFmtId="9" fontId="0" fillId="0" borderId="0" xfId="2" applyFont="1"/>
    <xf numFmtId="167" fontId="0" fillId="0" borderId="0" xfId="0" applyNumberFormat="1"/>
    <xf numFmtId="10" fontId="0" fillId="8" borderId="0" xfId="0" applyNumberFormat="1" applyFill="1"/>
    <xf numFmtId="9" fontId="0" fillId="5" borderId="0" xfId="2" applyFont="1" applyFill="1"/>
    <xf numFmtId="165" fontId="0" fillId="3" borderId="0" xfId="0" applyNumberFormat="1" applyFill="1"/>
    <xf numFmtId="165" fontId="0" fillId="5" borderId="0" xfId="1" applyNumberFormat="1" applyFont="1" applyFill="1"/>
    <xf numFmtId="10" fontId="0" fillId="5" borderId="0" xfId="2" applyNumberFormat="1" applyFont="1" applyFill="1"/>
    <xf numFmtId="10" fontId="0" fillId="0" borderId="0" xfId="2" applyNumberFormat="1" applyFont="1"/>
    <xf numFmtId="168" fontId="0" fillId="5" borderId="0" xfId="1" applyNumberFormat="1" applyFont="1" applyFill="1"/>
    <xf numFmtId="0" fontId="3" fillId="0" borderId="0" xfId="0" applyFont="1" applyAlignment="1"/>
    <xf numFmtId="0" fontId="0" fillId="0" borderId="0" xfId="0" applyAlignment="1"/>
    <xf numFmtId="9" fontId="0" fillId="0" borderId="0" xfId="0" applyNumberFormat="1"/>
    <xf numFmtId="165" fontId="0" fillId="0" borderId="0" xfId="0" applyNumberFormat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7" fontId="0" fillId="0" borderId="0" xfId="2" applyNumberFormat="1" applyFont="1" applyBorder="1"/>
    <xf numFmtId="167" fontId="0" fillId="0" borderId="0" xfId="0" applyNumberFormat="1" applyBorder="1"/>
    <xf numFmtId="10" fontId="0" fillId="0" borderId="0" xfId="0" applyNumberFormat="1" applyBorder="1"/>
    <xf numFmtId="167" fontId="0" fillId="0" borderId="7" xfId="0" applyNumberFormat="1" applyBorder="1"/>
    <xf numFmtId="167" fontId="0" fillId="0" borderId="9" xfId="0" applyNumberFormat="1" applyBorder="1"/>
    <xf numFmtId="167" fontId="0" fillId="0" borderId="10" xfId="0" applyNumberFormat="1" applyBorder="1"/>
    <xf numFmtId="0" fontId="3" fillId="0" borderId="6" xfId="0" applyFont="1" applyBorder="1"/>
    <xf numFmtId="167" fontId="0" fillId="0" borderId="9" xfId="2" applyNumberFormat="1" applyFont="1" applyBorder="1"/>
    <xf numFmtId="0" fontId="0" fillId="10" borderId="3" xfId="0" applyFill="1" applyBorder="1" applyAlignment="1">
      <alignment horizontal="right" wrapText="1"/>
    </xf>
    <xf numFmtId="0" fontId="12" fillId="10" borderId="4" xfId="0" applyFont="1" applyFill="1" applyBorder="1" applyAlignment="1">
      <alignment horizontal="right" wrapText="1"/>
    </xf>
    <xf numFmtId="0" fontId="12" fillId="10" borderId="5" xfId="0" applyFont="1" applyFill="1" applyBorder="1" applyAlignment="1">
      <alignment horizontal="right" wrapText="1"/>
    </xf>
    <xf numFmtId="0" fontId="12" fillId="10" borderId="6" xfId="0" applyFont="1" applyFill="1" applyBorder="1" applyAlignment="1">
      <alignment horizontal="right" wrapText="1"/>
    </xf>
    <xf numFmtId="0" fontId="12" fillId="10" borderId="7" xfId="0" applyFont="1" applyFill="1" applyBorder="1" applyAlignment="1">
      <alignment horizontal="right" wrapText="1"/>
    </xf>
    <xf numFmtId="0" fontId="12" fillId="10" borderId="11" xfId="0" applyFont="1" applyFill="1" applyBorder="1" applyAlignment="1">
      <alignment horizontal="right" wrapText="1"/>
    </xf>
    <xf numFmtId="0" fontId="13" fillId="9" borderId="6" xfId="0" applyFont="1" applyFill="1" applyBorder="1" applyAlignment="1">
      <alignment horizontal="left" vertical="top" wrapText="1"/>
    </xf>
    <xf numFmtId="0" fontId="13" fillId="9" borderId="0" xfId="0" applyFont="1" applyFill="1" applyBorder="1" applyAlignment="1">
      <alignment horizontal="right" vertical="top" wrapText="1"/>
    </xf>
    <xf numFmtId="0" fontId="13" fillId="9" borderId="7" xfId="0" applyFont="1" applyFill="1" applyBorder="1" applyAlignment="1">
      <alignment horizontal="right" vertical="top" wrapText="1"/>
    </xf>
    <xf numFmtId="0" fontId="14" fillId="9" borderId="6" xfId="0" applyFont="1" applyFill="1" applyBorder="1" applyAlignment="1">
      <alignment horizontal="left" vertical="center" wrapText="1"/>
    </xf>
    <xf numFmtId="0" fontId="14" fillId="9" borderId="0" xfId="0" applyFont="1" applyFill="1" applyBorder="1" applyAlignment="1">
      <alignment horizontal="right" vertical="top" wrapText="1"/>
    </xf>
    <xf numFmtId="0" fontId="14" fillId="9" borderId="7" xfId="0" applyFont="1" applyFill="1" applyBorder="1" applyAlignment="1">
      <alignment horizontal="right" vertical="top" wrapText="1"/>
    </xf>
    <xf numFmtId="0" fontId="13" fillId="9" borderId="6" xfId="0" applyFont="1" applyFill="1" applyBorder="1" applyAlignment="1">
      <alignment horizontal="left" vertical="center" wrapText="1"/>
    </xf>
    <xf numFmtId="0" fontId="13" fillId="9" borderId="8" xfId="0" applyFont="1" applyFill="1" applyBorder="1" applyAlignment="1">
      <alignment horizontal="left" vertical="top" wrapText="1"/>
    </xf>
    <xf numFmtId="0" fontId="13" fillId="9" borderId="9" xfId="0" applyFont="1" applyFill="1" applyBorder="1" applyAlignment="1">
      <alignment horizontal="right" vertical="top" wrapText="1"/>
    </xf>
    <xf numFmtId="0" fontId="13" fillId="9" borderId="10" xfId="0" applyFont="1" applyFill="1" applyBorder="1" applyAlignment="1">
      <alignment horizontal="right" vertical="top" wrapText="1"/>
    </xf>
    <xf numFmtId="9" fontId="0" fillId="0" borderId="0" xfId="2" applyFont="1" applyBorder="1"/>
    <xf numFmtId="9" fontId="0" fillId="0" borderId="7" xfId="2" applyFont="1" applyBorder="1"/>
    <xf numFmtId="9" fontId="0" fillId="0" borderId="9" xfId="0" applyNumberFormat="1" applyBorder="1"/>
    <xf numFmtId="9" fontId="0" fillId="0" borderId="10" xfId="0" applyNumberFormat="1" applyBorder="1"/>
    <xf numFmtId="10" fontId="0" fillId="0" borderId="7" xfId="2" applyNumberFormat="1" applyFont="1" applyBorder="1"/>
    <xf numFmtId="10" fontId="0" fillId="0" borderId="7" xfId="0" applyNumberFormat="1" applyBorder="1"/>
    <xf numFmtId="10" fontId="0" fillId="0" borderId="10" xfId="2" applyNumberFormat="1" applyFont="1" applyBorder="1"/>
    <xf numFmtId="0" fontId="0" fillId="0" borderId="5" xfId="0" applyBorder="1"/>
    <xf numFmtId="0" fontId="0" fillId="0" borderId="12" xfId="0" applyBorder="1"/>
    <xf numFmtId="0" fontId="0" fillId="0" borderId="13" xfId="0" applyBorder="1"/>
    <xf numFmtId="0" fontId="3" fillId="0" borderId="2" xfId="0" applyFont="1" applyBorder="1"/>
    <xf numFmtId="0" fontId="3" fillId="0" borderId="14" xfId="0" applyFont="1" applyBorder="1"/>
    <xf numFmtId="0" fontId="3" fillId="0" borderId="15" xfId="0" applyFont="1" applyBorder="1"/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6" xfId="0" applyFont="1" applyBorder="1"/>
    <xf numFmtId="10" fontId="0" fillId="0" borderId="0" xfId="0" applyNumberFormat="1" applyFont="1" applyBorder="1"/>
    <xf numFmtId="10" fontId="0" fillId="0" borderId="7" xfId="0" applyNumberFormat="1" applyFont="1" applyBorder="1"/>
    <xf numFmtId="10" fontId="1" fillId="0" borderId="0" xfId="2" applyNumberFormat="1" applyFont="1" applyBorder="1"/>
    <xf numFmtId="0" fontId="0" fillId="0" borderId="8" xfId="0" applyFont="1" applyBorder="1"/>
    <xf numFmtId="10" fontId="0" fillId="0" borderId="9" xfId="0" applyNumberFormat="1" applyFont="1" applyBorder="1"/>
    <xf numFmtId="10" fontId="0" fillId="0" borderId="10" xfId="0" applyNumberFormat="1" applyFont="1" applyBorder="1"/>
    <xf numFmtId="0" fontId="3" fillId="0" borderId="16" xfId="0" applyFont="1" applyBorder="1"/>
    <xf numFmtId="2" fontId="0" fillId="0" borderId="0" xfId="0" applyNumberFormat="1" applyBorder="1"/>
    <xf numFmtId="2" fontId="0" fillId="0" borderId="7" xfId="0" applyNumberFormat="1" applyBorder="1"/>
    <xf numFmtId="0" fontId="0" fillId="0" borderId="14" xfId="0" applyFont="1" applyBorder="1"/>
    <xf numFmtId="0" fontId="0" fillId="0" borderId="0" xfId="0" applyFont="1" applyBorder="1"/>
    <xf numFmtId="2" fontId="3" fillId="0" borderId="14" xfId="0" applyNumberFormat="1" applyFont="1" applyBorder="1"/>
    <xf numFmtId="2" fontId="3" fillId="0" borderId="15" xfId="0" applyNumberFormat="1" applyFont="1" applyBorder="1"/>
    <xf numFmtId="165" fontId="0" fillId="11" borderId="0" xfId="0" applyNumberFormat="1" applyFill="1"/>
    <xf numFmtId="164" fontId="0" fillId="5" borderId="0" xfId="1" applyNumberFormat="1" applyFont="1" applyFill="1"/>
    <xf numFmtId="0" fontId="15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15" fillId="0" borderId="0" xfId="0" applyFont="1" applyAlignment="1">
      <alignment vertical="top" wrapText="1"/>
    </xf>
    <xf numFmtId="0" fontId="15" fillId="0" borderId="0" xfId="0" applyNumberFormat="1" applyFont="1" applyAlignment="1">
      <alignment vertical="top"/>
    </xf>
    <xf numFmtId="0" fontId="15" fillId="12" borderId="0" xfId="0" applyFont="1" applyFill="1" applyAlignment="1">
      <alignment vertical="top"/>
    </xf>
    <xf numFmtId="0" fontId="15" fillId="12" borderId="0" xfId="0" applyFont="1" applyFill="1" applyAlignment="1">
      <alignment vertical="top" wrapText="1"/>
    </xf>
    <xf numFmtId="0" fontId="15" fillId="12" borderId="0" xfId="0" applyNumberFormat="1" applyFont="1" applyFill="1" applyAlignment="1">
      <alignment vertical="top"/>
    </xf>
    <xf numFmtId="0" fontId="15" fillId="13" borderId="0" xfId="0" applyFont="1" applyFill="1" applyAlignment="1">
      <alignment horizontal="left" vertical="top"/>
    </xf>
    <xf numFmtId="0" fontId="15" fillId="13" borderId="0" xfId="0" applyFont="1" applyFill="1" applyAlignment="1">
      <alignment vertical="top"/>
    </xf>
    <xf numFmtId="0" fontId="15" fillId="13" borderId="0" xfId="0" applyFont="1" applyFill="1" applyAlignment="1">
      <alignment vertical="top" wrapText="1"/>
    </xf>
    <xf numFmtId="0" fontId="15" fillId="13" borderId="0" xfId="0" applyNumberFormat="1" applyFont="1" applyFill="1" applyAlignment="1">
      <alignment vertical="top"/>
    </xf>
    <xf numFmtId="2" fontId="15" fillId="13" borderId="0" xfId="0" applyNumberFormat="1" applyFont="1" applyFill="1" applyAlignment="1">
      <alignment vertical="top"/>
    </xf>
    <xf numFmtId="0" fontId="16" fillId="14" borderId="0" xfId="0" applyFont="1" applyFill="1" applyAlignment="1">
      <alignment horizontal="center" vertical="top"/>
    </xf>
    <xf numFmtId="0" fontId="16" fillId="14" borderId="0" xfId="0" applyFont="1" applyFill="1" applyAlignment="1">
      <alignment horizontal="center" vertical="top" wrapText="1"/>
    </xf>
    <xf numFmtId="0" fontId="16" fillId="14" borderId="0" xfId="0" applyNumberFormat="1" applyFont="1" applyFill="1" applyAlignment="1">
      <alignment horizontal="center" vertical="top"/>
    </xf>
    <xf numFmtId="0" fontId="15" fillId="0" borderId="0" xfId="0" applyFont="1" applyFill="1" applyAlignment="1">
      <alignment vertical="top"/>
    </xf>
    <xf numFmtId="0" fontId="15" fillId="0" borderId="0" xfId="0" applyFont="1" applyFill="1" applyAlignment="1">
      <alignment vertical="top" wrapText="1"/>
    </xf>
    <xf numFmtId="0" fontId="15" fillId="0" borderId="0" xfId="0" applyNumberFormat="1" applyFont="1" applyFill="1" applyAlignment="1">
      <alignment vertical="top"/>
    </xf>
    <xf numFmtId="0" fontId="4" fillId="3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6" borderId="0" xfId="0" applyFill="1" applyBorder="1" applyAlignment="1">
      <alignment horizontal="left" vertical="top"/>
    </xf>
    <xf numFmtId="0" fontId="0" fillId="7" borderId="0" xfId="0" applyFill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 vertical="top"/>
    </xf>
    <xf numFmtId="0" fontId="0" fillId="2" borderId="0" xfId="0" applyFill="1" applyAlignment="1">
      <alignment horizontal="right" vertical="top"/>
    </xf>
    <xf numFmtId="0" fontId="0" fillId="3" borderId="0" xfId="0" applyFill="1" applyAlignment="1">
      <alignment horizontal="right" vertical="top"/>
    </xf>
    <xf numFmtId="165" fontId="0" fillId="3" borderId="0" xfId="0" applyNumberFormat="1" applyFill="1" applyAlignment="1">
      <alignment horizontal="right" vertical="top"/>
    </xf>
    <xf numFmtId="165" fontId="0" fillId="6" borderId="0" xfId="0" applyNumberFormat="1" applyFill="1" applyBorder="1" applyAlignment="1">
      <alignment horizontal="right" vertical="top"/>
    </xf>
    <xf numFmtId="165" fontId="0" fillId="7" borderId="0" xfId="0" applyNumberFormat="1" applyFill="1" applyAlignment="1">
      <alignment horizontal="right" vertical="top"/>
    </xf>
    <xf numFmtId="165" fontId="0" fillId="7" borderId="0" xfId="2" applyNumberFormat="1" applyFont="1" applyFill="1" applyAlignment="1">
      <alignment horizontal="right" vertical="top"/>
    </xf>
    <xf numFmtId="0" fontId="0" fillId="0" borderId="0" xfId="0" applyFill="1" applyAlignment="1">
      <alignment horizontal="left" vertical="top" wrapText="1"/>
    </xf>
  </cellXfs>
  <cellStyles count="3">
    <cellStyle name="Comma" xfId="1" builtinId="3"/>
    <cellStyle name="Normal" xfId="0" builtinId="0"/>
    <cellStyle name="Percent" xfId="2" builtinId="5"/>
  </cellStyles>
  <dxfs count="4">
    <dxf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8D3F2AD-386C-47D7-A08A-D0F9FA78FC08}" name="Table12" displayName="Table12" ref="A1:C14" totalsRowShown="0" headerRowDxfId="3">
  <autoFilter ref="A1:C14" xr:uid="{18D3F2AD-386C-47D7-A08A-D0F9FA78FC08}">
    <filterColumn colId="0" hiddenButton="1"/>
    <filterColumn colId="1" hiddenButton="1"/>
    <filterColumn colId="2" hiddenButton="1"/>
  </autoFilter>
  <tableColumns count="3">
    <tableColumn id="1" xr3:uid="{DC129F0C-83E5-4999-8067-EED30BFDDA18}" name="Field" dataDxfId="2"/>
    <tableColumn id="2" xr3:uid="{E72215B9-C65D-4070-9C6F-FFC8A4850319}" name="Required" dataDxfId="1"/>
    <tableColumn id="3" xr3:uid="{5E3BB497-0045-4EEA-BCF3-CC45DB3FD769}" name="Description" dataDxfId="0"/>
  </tableColumns>
  <tableStyleInfo name="TableStyleLight13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AB0358D-140B-43B9-A527-231BF75D29FD}" name="Table13" displayName="Table13" ref="C17:C21" totalsRowShown="0">
  <autoFilter ref="C17:C21" xr:uid="{AAB0358D-140B-43B9-A527-231BF75D29FD}">
    <filterColumn colId="0" hiddenButton="1"/>
  </autoFilter>
  <tableColumns count="1">
    <tableColumn id="1" xr3:uid="{3FA4E765-6020-4665-8A64-E72D3247D39B}" name="Not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E8843-9E22-442B-AC52-E0B48A2465F9}">
  <dimension ref="A1:C21"/>
  <sheetViews>
    <sheetView workbookViewId="0">
      <selection activeCell="C31" sqref="C31"/>
    </sheetView>
  </sheetViews>
  <sheetFormatPr defaultRowHeight="15" x14ac:dyDescent="0.25"/>
  <cols>
    <col min="1" max="1" width="15.140625" customWidth="1"/>
    <col min="2" max="2" width="12.7109375" customWidth="1"/>
    <col min="3" max="3" width="156.85546875" customWidth="1"/>
    <col min="6" max="6" width="16.85546875" customWidth="1"/>
  </cols>
  <sheetData>
    <row r="1" spans="1:3" x14ac:dyDescent="0.25">
      <c r="A1" s="62" t="s">
        <v>176</v>
      </c>
      <c r="B1" s="62" t="s">
        <v>178</v>
      </c>
      <c r="C1" s="62" t="s">
        <v>177</v>
      </c>
    </row>
    <row r="2" spans="1:3" ht="30" x14ac:dyDescent="0.25">
      <c r="A2" s="62" t="s">
        <v>143</v>
      </c>
      <c r="B2" s="63" t="b">
        <v>1</v>
      </c>
      <c r="C2" s="14" t="s">
        <v>180</v>
      </c>
    </row>
    <row r="3" spans="1:3" x14ac:dyDescent="0.25">
      <c r="A3" s="62" t="s">
        <v>133</v>
      </c>
      <c r="B3" s="63" t="b">
        <v>1</v>
      </c>
      <c r="C3" s="14" t="s">
        <v>174</v>
      </c>
    </row>
    <row r="4" spans="1:3" x14ac:dyDescent="0.25">
      <c r="A4" s="62" t="s">
        <v>136</v>
      </c>
      <c r="B4" s="63" t="b">
        <v>1</v>
      </c>
      <c r="C4" s="14" t="s">
        <v>175</v>
      </c>
    </row>
    <row r="5" spans="1:3" x14ac:dyDescent="0.25">
      <c r="A5" s="62" t="s">
        <v>137</v>
      </c>
      <c r="B5" s="63" t="b">
        <v>1</v>
      </c>
      <c r="C5" s="14" t="s">
        <v>179</v>
      </c>
    </row>
    <row r="6" spans="1:3" x14ac:dyDescent="0.25">
      <c r="A6" s="62" t="s">
        <v>134</v>
      </c>
      <c r="B6" s="63" t="s">
        <v>181</v>
      </c>
      <c r="C6" s="14" t="s">
        <v>182</v>
      </c>
    </row>
    <row r="7" spans="1:3" x14ac:dyDescent="0.25">
      <c r="A7" s="62" t="s">
        <v>135</v>
      </c>
      <c r="B7" s="63"/>
      <c r="C7" s="14" t="s">
        <v>182</v>
      </c>
    </row>
    <row r="8" spans="1:3" x14ac:dyDescent="0.25">
      <c r="A8" s="62" t="s">
        <v>138</v>
      </c>
      <c r="B8" s="63"/>
      <c r="C8" s="14" t="s">
        <v>183</v>
      </c>
    </row>
    <row r="9" spans="1:3" x14ac:dyDescent="0.25">
      <c r="A9" s="62" t="s">
        <v>139</v>
      </c>
      <c r="B9" s="63"/>
      <c r="C9" s="14" t="s">
        <v>183</v>
      </c>
    </row>
    <row r="10" spans="1:3" x14ac:dyDescent="0.25">
      <c r="A10" s="62" t="s">
        <v>140</v>
      </c>
      <c r="B10" s="63"/>
      <c r="C10" s="14" t="s">
        <v>184</v>
      </c>
    </row>
    <row r="11" spans="1:3" x14ac:dyDescent="0.25">
      <c r="A11" s="62" t="s">
        <v>141</v>
      </c>
      <c r="B11" s="63"/>
      <c r="C11" s="14" t="s">
        <v>184</v>
      </c>
    </row>
    <row r="12" spans="1:3" x14ac:dyDescent="0.25">
      <c r="A12" s="62" t="s">
        <v>157</v>
      </c>
      <c r="B12" s="63"/>
      <c r="C12" s="14" t="s">
        <v>185</v>
      </c>
    </row>
    <row r="13" spans="1:3" x14ac:dyDescent="0.25">
      <c r="A13" s="62" t="s">
        <v>145</v>
      </c>
      <c r="B13" s="63"/>
      <c r="C13" s="14" t="s">
        <v>186</v>
      </c>
    </row>
    <row r="14" spans="1:3" x14ac:dyDescent="0.25">
      <c r="A14" s="62" t="s">
        <v>187</v>
      </c>
      <c r="B14" s="63"/>
      <c r="C14" s="14" t="s">
        <v>188</v>
      </c>
    </row>
    <row r="17" spans="3:3" x14ac:dyDescent="0.25">
      <c r="C17" t="s">
        <v>193</v>
      </c>
    </row>
    <row r="18" spans="3:3" x14ac:dyDescent="0.25">
      <c r="C18" t="s">
        <v>189</v>
      </c>
    </row>
    <row r="19" spans="3:3" x14ac:dyDescent="0.25">
      <c r="C19" t="s">
        <v>190</v>
      </c>
    </row>
    <row r="20" spans="3:3" x14ac:dyDescent="0.25">
      <c r="C20" t="s">
        <v>191</v>
      </c>
    </row>
    <row r="21" spans="3:3" x14ac:dyDescent="0.25">
      <c r="C21" t="s">
        <v>192</v>
      </c>
    </row>
  </sheetData>
  <phoneticPr fontId="6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A5658-E2EA-4E0B-B547-2D4F388F10E4}">
  <dimension ref="A1:Q33"/>
  <sheetViews>
    <sheetView tabSelected="1" zoomScaleNormal="100" workbookViewId="0">
      <pane xSplit="1" topLeftCell="B1" activePane="topRight" state="frozen"/>
      <selection pane="topRight" activeCell="C15" sqref="C15"/>
    </sheetView>
  </sheetViews>
  <sheetFormatPr defaultRowHeight="15" x14ac:dyDescent="0.25"/>
  <cols>
    <col min="1" max="1" width="45.42578125" style="131" bestFit="1" customWidth="1"/>
    <col min="2" max="2" width="9.28515625" style="131" bestFit="1" customWidth="1"/>
    <col min="3" max="3" width="36.28515625" style="132" bestFit="1" customWidth="1"/>
    <col min="4" max="4" width="51.5703125" style="132" bestFit="1" customWidth="1"/>
    <col min="5" max="5" width="25" style="131" bestFit="1" customWidth="1"/>
    <col min="6" max="6" width="34.42578125" style="131" bestFit="1" customWidth="1"/>
    <col min="7" max="7" width="15.42578125" style="131" bestFit="1" customWidth="1"/>
    <col min="8" max="8" width="14.28515625" style="131" bestFit="1" customWidth="1"/>
    <col min="9" max="9" width="26" style="133" customWidth="1"/>
    <col min="10" max="10" width="24.42578125" style="133" bestFit="1" customWidth="1"/>
    <col min="11" max="12" width="8.85546875" style="131" bestFit="1" customWidth="1"/>
    <col min="13" max="13" width="14.85546875" style="134" bestFit="1" customWidth="1"/>
    <col min="14" max="14" width="13.5703125" style="134" bestFit="1" customWidth="1"/>
    <col min="15" max="16" width="14.85546875" style="134" bestFit="1" customWidth="1"/>
    <col min="17" max="17" width="14.85546875" style="131" bestFit="1" customWidth="1"/>
    <col min="18" max="16384" width="9.140625" style="131"/>
  </cols>
  <sheetData>
    <row r="1" spans="1:17" x14ac:dyDescent="0.25">
      <c r="A1" s="143" t="s">
        <v>143</v>
      </c>
      <c r="B1" s="143" t="s">
        <v>133</v>
      </c>
      <c r="C1" s="143" t="s">
        <v>136</v>
      </c>
      <c r="D1" s="143" t="s">
        <v>137</v>
      </c>
      <c r="E1" s="143" t="s">
        <v>134</v>
      </c>
      <c r="F1" s="143" t="s">
        <v>135</v>
      </c>
      <c r="G1" s="143" t="s">
        <v>138</v>
      </c>
      <c r="H1" s="143" t="s">
        <v>139</v>
      </c>
      <c r="I1" s="144" t="s">
        <v>140</v>
      </c>
      <c r="J1" s="144" t="s">
        <v>141</v>
      </c>
      <c r="K1" s="143" t="s">
        <v>157</v>
      </c>
      <c r="L1" s="143" t="s">
        <v>145</v>
      </c>
      <c r="M1" s="145" t="s">
        <v>142</v>
      </c>
      <c r="N1" s="145" t="s">
        <v>151</v>
      </c>
      <c r="O1" s="145" t="s">
        <v>152</v>
      </c>
      <c r="P1" s="145" t="s">
        <v>324</v>
      </c>
      <c r="Q1" s="145" t="s">
        <v>325</v>
      </c>
    </row>
    <row r="2" spans="1:17" ht="12.75" customHeight="1" x14ac:dyDescent="0.25">
      <c r="A2" s="146" t="s">
        <v>147</v>
      </c>
      <c r="B2" s="146" t="s">
        <v>144</v>
      </c>
      <c r="C2" s="146" t="s">
        <v>1</v>
      </c>
      <c r="D2" s="146" t="s">
        <v>146</v>
      </c>
      <c r="E2" s="146"/>
      <c r="F2" s="146"/>
      <c r="G2" s="146"/>
      <c r="H2" s="146"/>
      <c r="I2" s="147"/>
      <c r="J2" s="147"/>
      <c r="K2" s="146"/>
      <c r="L2" s="146" t="s">
        <v>149</v>
      </c>
      <c r="M2" s="148">
        <v>0</v>
      </c>
      <c r="N2" s="148">
        <v>0</v>
      </c>
      <c r="O2" s="148">
        <v>0</v>
      </c>
      <c r="P2" s="148">
        <v>0</v>
      </c>
      <c r="Q2" s="148">
        <v>0</v>
      </c>
    </row>
    <row r="3" spans="1:17" x14ac:dyDescent="0.25">
      <c r="A3" s="146" t="s">
        <v>150</v>
      </c>
      <c r="B3" s="146" t="s">
        <v>144</v>
      </c>
      <c r="C3" s="146" t="s">
        <v>2</v>
      </c>
      <c r="D3" s="146" t="s">
        <v>148</v>
      </c>
      <c r="E3" s="146"/>
      <c r="F3" s="146"/>
      <c r="G3" s="146"/>
      <c r="H3" s="146"/>
      <c r="I3" s="147"/>
      <c r="J3" s="147"/>
      <c r="K3" s="146"/>
      <c r="L3" s="146" t="s">
        <v>149</v>
      </c>
      <c r="M3" s="148">
        <v>0</v>
      </c>
      <c r="N3" s="148">
        <v>0</v>
      </c>
      <c r="O3" s="148">
        <v>0</v>
      </c>
      <c r="P3" s="148">
        <v>0</v>
      </c>
      <c r="Q3" s="148">
        <v>0</v>
      </c>
    </row>
    <row r="4" spans="1:17" x14ac:dyDescent="0.25">
      <c r="A4" s="135" t="s">
        <v>3</v>
      </c>
      <c r="B4" s="135" t="s">
        <v>153</v>
      </c>
      <c r="C4" s="135" t="s">
        <v>3</v>
      </c>
      <c r="D4" s="135" t="s">
        <v>194</v>
      </c>
      <c r="E4" s="135"/>
      <c r="F4" s="135"/>
      <c r="G4" s="135"/>
      <c r="H4" s="135"/>
      <c r="I4" s="136"/>
      <c r="J4" s="136"/>
      <c r="K4" s="135"/>
      <c r="L4" s="135" t="s">
        <v>149</v>
      </c>
      <c r="M4" s="137">
        <f>'For user (EN)'!D6</f>
        <v>0</v>
      </c>
      <c r="N4" s="137">
        <f>'For user (EN)'!E6</f>
        <v>0</v>
      </c>
      <c r="O4" s="137">
        <f>'For user (EN)'!F6</f>
        <v>0</v>
      </c>
      <c r="P4" s="137">
        <f>'For user (EN)'!G6</f>
        <v>0</v>
      </c>
      <c r="Q4" s="137">
        <f>'For user (EN)'!H6</f>
        <v>0</v>
      </c>
    </row>
    <row r="5" spans="1:17" x14ac:dyDescent="0.25">
      <c r="A5" s="135" t="s">
        <v>53</v>
      </c>
      <c r="B5" s="135" t="s">
        <v>153</v>
      </c>
      <c r="C5" s="135" t="s">
        <v>53</v>
      </c>
      <c r="D5" s="135" t="s">
        <v>154</v>
      </c>
      <c r="E5" s="135"/>
      <c r="F5" s="135"/>
      <c r="G5" s="135"/>
      <c r="H5" s="135"/>
      <c r="I5" s="136"/>
      <c r="J5" s="136"/>
      <c r="K5" s="135"/>
      <c r="L5" s="135" t="s">
        <v>149</v>
      </c>
      <c r="M5" s="137">
        <f>'For user (EN)'!D10</f>
        <v>0</v>
      </c>
      <c r="N5" s="137">
        <f>'For user (EN)'!E10</f>
        <v>0</v>
      </c>
      <c r="O5" s="137">
        <f>'For user (EN)'!F10</f>
        <v>0</v>
      </c>
      <c r="P5" s="137">
        <f>'For user (EN)'!G10</f>
        <v>0</v>
      </c>
      <c r="Q5" s="137">
        <f>'For user (EN)'!H10</f>
        <v>0</v>
      </c>
    </row>
    <row r="6" spans="1:17" ht="90" x14ac:dyDescent="0.25">
      <c r="A6" s="135" t="s">
        <v>167</v>
      </c>
      <c r="B6" s="135" t="s">
        <v>153</v>
      </c>
      <c r="C6" s="135" t="s">
        <v>202</v>
      </c>
      <c r="D6" s="135" t="s">
        <v>158</v>
      </c>
      <c r="E6" s="135"/>
      <c r="F6" s="135"/>
      <c r="G6" s="135"/>
      <c r="H6" s="135"/>
      <c r="I6" s="136" t="s">
        <v>160</v>
      </c>
      <c r="J6" s="136" t="s">
        <v>159</v>
      </c>
      <c r="K6" s="135"/>
      <c r="L6" s="135" t="s">
        <v>149</v>
      </c>
      <c r="M6" s="137">
        <f>'For user (EN)'!D12</f>
        <v>0</v>
      </c>
      <c r="N6" s="137">
        <f>'For user (EN)'!E12</f>
        <v>0</v>
      </c>
      <c r="O6" s="137">
        <f>'For user (EN)'!F12</f>
        <v>0</v>
      </c>
      <c r="P6" s="137">
        <f>'For user (EN)'!G12</f>
        <v>0</v>
      </c>
      <c r="Q6" s="137">
        <f>'For user (EN)'!H12</f>
        <v>0</v>
      </c>
    </row>
    <row r="7" spans="1:17" x14ac:dyDescent="0.25">
      <c r="A7" s="135" t="s">
        <v>8</v>
      </c>
      <c r="B7" s="135" t="s">
        <v>153</v>
      </c>
      <c r="C7" s="135" t="s">
        <v>155</v>
      </c>
      <c r="D7" s="135" t="s">
        <v>156</v>
      </c>
      <c r="E7" s="135"/>
      <c r="F7" s="135"/>
      <c r="G7" s="135"/>
      <c r="H7" s="135"/>
      <c r="I7" s="136"/>
      <c r="J7" s="136"/>
      <c r="K7" s="135"/>
      <c r="L7" s="135" t="s">
        <v>149</v>
      </c>
      <c r="M7" s="137">
        <f>'For user (EN)'!D11</f>
        <v>0</v>
      </c>
      <c r="N7" s="137">
        <f>'For user (EN)'!E11</f>
        <v>0</v>
      </c>
      <c r="O7" s="137">
        <f>'For user (EN)'!F11</f>
        <v>0</v>
      </c>
      <c r="P7" s="137">
        <f>'For user (EN)'!G11</f>
        <v>0</v>
      </c>
      <c r="Q7" s="137">
        <f>'For user (EN)'!H11</f>
        <v>0</v>
      </c>
    </row>
    <row r="8" spans="1:17" x14ac:dyDescent="0.25">
      <c r="A8" s="135" t="s">
        <v>52</v>
      </c>
      <c r="B8" s="135" t="s">
        <v>153</v>
      </c>
      <c r="C8" s="135" t="s">
        <v>52</v>
      </c>
      <c r="D8" s="135" t="s">
        <v>161</v>
      </c>
      <c r="E8" s="135"/>
      <c r="F8" s="135"/>
      <c r="G8" s="135"/>
      <c r="H8" s="135"/>
      <c r="I8" s="136"/>
      <c r="J8" s="136"/>
      <c r="K8" s="135"/>
      <c r="L8" s="135" t="s">
        <v>149</v>
      </c>
      <c r="M8" s="137">
        <f>'For user (EN)'!D13</f>
        <v>0</v>
      </c>
      <c r="N8" s="137">
        <f>'For user (EN)'!E13</f>
        <v>0</v>
      </c>
      <c r="O8" s="137">
        <f>'For user (EN)'!F13</f>
        <v>0</v>
      </c>
      <c r="P8" s="137">
        <f>'For user (EN)'!G13</f>
        <v>0</v>
      </c>
      <c r="Q8" s="137">
        <f>'For user (EN)'!H13</f>
        <v>0</v>
      </c>
    </row>
    <row r="9" spans="1:17" x14ac:dyDescent="0.25">
      <c r="A9" s="138" t="s">
        <v>45</v>
      </c>
      <c r="B9" s="139" t="s">
        <v>162</v>
      </c>
      <c r="C9" s="139" t="s">
        <v>45</v>
      </c>
      <c r="D9" s="139" t="s">
        <v>163</v>
      </c>
      <c r="E9" s="139" t="s">
        <v>165</v>
      </c>
      <c r="F9" s="139" t="s">
        <v>164</v>
      </c>
      <c r="G9" s="139"/>
      <c r="H9" s="139"/>
      <c r="I9" s="140"/>
      <c r="J9" s="140"/>
      <c r="K9" s="139" t="b">
        <v>1</v>
      </c>
      <c r="L9" s="139"/>
      <c r="M9" s="141">
        <f>Model!E10</f>
        <v>2.2000000000000002</v>
      </c>
      <c r="N9" s="141">
        <f>Model!F10</f>
        <v>2.5750000000000002</v>
      </c>
      <c r="O9" s="141">
        <f>Model!G10</f>
        <v>2.7</v>
      </c>
      <c r="P9" s="141">
        <f>Model!H10</f>
        <v>2.7</v>
      </c>
      <c r="Q9" s="141">
        <f>Model!I10</f>
        <v>2.7</v>
      </c>
    </row>
    <row r="10" spans="1:17" x14ac:dyDescent="0.25">
      <c r="A10" s="138" t="s">
        <v>288</v>
      </c>
      <c r="B10" s="139" t="s">
        <v>162</v>
      </c>
      <c r="C10" s="139" t="s">
        <v>288</v>
      </c>
      <c r="D10" s="139" t="s">
        <v>291</v>
      </c>
      <c r="E10" s="139" t="s">
        <v>165</v>
      </c>
      <c r="F10" s="139" t="s">
        <v>164</v>
      </c>
      <c r="G10" s="139"/>
      <c r="H10" s="139"/>
      <c r="I10" s="140"/>
      <c r="J10" s="140"/>
      <c r="K10" s="139" t="b">
        <v>1</v>
      </c>
      <c r="L10" s="139"/>
      <c r="M10" s="142">
        <f>Model!E13</f>
        <v>2.4880752449431824</v>
      </c>
      <c r="N10" s="142">
        <f>Model!F13</f>
        <v>2.7674466657475927</v>
      </c>
      <c r="O10" s="142">
        <f>Model!G13</f>
        <v>2.82</v>
      </c>
      <c r="P10" s="142">
        <f>Model!H13</f>
        <v>2.82</v>
      </c>
      <c r="Q10" s="142">
        <f>Model!I13</f>
        <v>2.82</v>
      </c>
    </row>
    <row r="11" spans="1:17" x14ac:dyDescent="0.25">
      <c r="A11" s="138" t="s">
        <v>289</v>
      </c>
      <c r="B11" s="139" t="s">
        <v>162</v>
      </c>
      <c r="C11" s="139" t="s">
        <v>289</v>
      </c>
      <c r="D11" s="139" t="s">
        <v>292</v>
      </c>
      <c r="E11" s="139" t="s">
        <v>165</v>
      </c>
      <c r="F11" s="139" t="s">
        <v>164</v>
      </c>
      <c r="G11" s="139"/>
      <c r="H11" s="139"/>
      <c r="I11" s="140"/>
      <c r="J11" s="140"/>
      <c r="K11" s="139" t="b">
        <v>1</v>
      </c>
      <c r="L11" s="139"/>
      <c r="M11" s="142">
        <f>Model!E14</f>
        <v>2.5634453699431825</v>
      </c>
      <c r="N11" s="142">
        <f>Model!F14</f>
        <v>2.8226651007475927</v>
      </c>
      <c r="O11" s="142">
        <f>Model!G14</f>
        <v>2.8679999999999999</v>
      </c>
      <c r="P11" s="142">
        <f>Model!H14</f>
        <v>2.8679999999999999</v>
      </c>
      <c r="Q11" s="142">
        <f>Model!I14</f>
        <v>2.8679999999999999</v>
      </c>
    </row>
    <row r="12" spans="1:17" x14ac:dyDescent="0.25">
      <c r="A12" s="138" t="s">
        <v>290</v>
      </c>
      <c r="B12" s="139" t="s">
        <v>162</v>
      </c>
      <c r="C12" s="139" t="s">
        <v>290</v>
      </c>
      <c r="D12" s="139" t="s">
        <v>293</v>
      </c>
      <c r="E12" s="139" t="s">
        <v>165</v>
      </c>
      <c r="F12" s="139" t="s">
        <v>164</v>
      </c>
      <c r="G12" s="139"/>
      <c r="H12" s="139"/>
      <c r="I12" s="140"/>
      <c r="J12" s="140"/>
      <c r="K12" s="139" t="b">
        <v>1</v>
      </c>
      <c r="L12" s="139"/>
      <c r="M12" s="142">
        <f>Model!E15</f>
        <v>2.764432369943183</v>
      </c>
      <c r="N12" s="142">
        <f>Model!F15</f>
        <v>2.9699142607475926</v>
      </c>
      <c r="O12" s="142">
        <f>Model!G15</f>
        <v>2.996</v>
      </c>
      <c r="P12" s="142">
        <f>Model!H15</f>
        <v>2.996</v>
      </c>
      <c r="Q12" s="142">
        <f>Model!I15</f>
        <v>2.996</v>
      </c>
    </row>
    <row r="13" spans="1:17" x14ac:dyDescent="0.25">
      <c r="A13" s="138" t="s">
        <v>195</v>
      </c>
      <c r="B13" s="139" t="s">
        <v>162</v>
      </c>
      <c r="C13" s="139" t="s">
        <v>195</v>
      </c>
      <c r="D13" s="139" t="s">
        <v>196</v>
      </c>
      <c r="E13" s="139" t="s">
        <v>165</v>
      </c>
      <c r="F13" s="139" t="s">
        <v>164</v>
      </c>
      <c r="G13" s="139"/>
      <c r="H13" s="139"/>
      <c r="I13" s="140"/>
      <c r="J13" s="140"/>
      <c r="K13" s="139" t="b">
        <v>1</v>
      </c>
      <c r="L13" s="139"/>
      <c r="M13" s="142">
        <f>'Fiscal Model Import'!G14</f>
        <v>3.4561687500000002</v>
      </c>
      <c r="N13" s="142">
        <f>'Fiscal Model Import'!H14</f>
        <v>3.4953072499999998</v>
      </c>
      <c r="O13" s="142">
        <f>'Fiscal Model Import'!I14</f>
        <v>3.5</v>
      </c>
      <c r="P13" s="142">
        <f>'Fiscal Model Import'!J14</f>
        <v>3.5</v>
      </c>
      <c r="Q13" s="142">
        <f>'Fiscal Model Import'!K14</f>
        <v>3.5</v>
      </c>
    </row>
    <row r="14" spans="1:17" x14ac:dyDescent="0.25">
      <c r="A14" s="139" t="s">
        <v>46</v>
      </c>
      <c r="B14" s="139" t="s">
        <v>162</v>
      </c>
      <c r="C14" s="139" t="s">
        <v>166</v>
      </c>
      <c r="D14" s="139" t="s">
        <v>168</v>
      </c>
      <c r="E14" s="139" t="s">
        <v>165</v>
      </c>
      <c r="F14" s="139" t="s">
        <v>164</v>
      </c>
      <c r="G14" s="139"/>
      <c r="H14" s="139"/>
      <c r="I14" s="140"/>
      <c r="J14" s="140"/>
      <c r="K14" s="139" t="b">
        <v>1</v>
      </c>
      <c r="L14" s="139"/>
      <c r="M14" s="141">
        <f>Model!E12</f>
        <v>3.8076797499999997</v>
      </c>
      <c r="N14" s="141">
        <f>Model!F12</f>
        <v>3.7604842500000002</v>
      </c>
      <c r="O14" s="141">
        <f>Model!G12</f>
        <v>3.75</v>
      </c>
      <c r="P14" s="141">
        <f>Model!H12</f>
        <v>3.75</v>
      </c>
      <c r="Q14" s="141">
        <f>Model!I12</f>
        <v>3.75</v>
      </c>
    </row>
    <row r="15" spans="1:17" x14ac:dyDescent="0.25">
      <c r="A15" s="139" t="s">
        <v>51</v>
      </c>
      <c r="B15" s="139" t="s">
        <v>162</v>
      </c>
      <c r="C15" s="139" t="s">
        <v>169</v>
      </c>
      <c r="D15" s="139" t="s">
        <v>170</v>
      </c>
      <c r="E15" s="139" t="s">
        <v>165</v>
      </c>
      <c r="F15" s="139" t="s">
        <v>164</v>
      </c>
      <c r="G15" s="139"/>
      <c r="H15" s="139"/>
      <c r="I15" s="140"/>
      <c r="J15" s="140"/>
      <c r="K15" s="139" t="b">
        <v>1</v>
      </c>
      <c r="L15" s="139"/>
      <c r="M15" s="141">
        <f>Model!E17</f>
        <v>2.6580713627470329</v>
      </c>
      <c r="N15" s="141">
        <f>Model!F17</f>
        <v>2.8980501102243621</v>
      </c>
      <c r="O15" s="141">
        <f>Model!G17</f>
        <v>2.9683548806065292</v>
      </c>
      <c r="P15" s="141">
        <f>Model!H17</f>
        <v>2.9683548806065292</v>
      </c>
      <c r="Q15" s="141">
        <f>Model!I17</f>
        <v>2.9683548806065292</v>
      </c>
    </row>
    <row r="16" spans="1:17" x14ac:dyDescent="0.25">
      <c r="A16" s="139" t="s">
        <v>233</v>
      </c>
      <c r="B16" s="139" t="s">
        <v>162</v>
      </c>
      <c r="C16" s="139" t="s">
        <v>323</v>
      </c>
      <c r="D16" s="139" t="s">
        <v>322</v>
      </c>
      <c r="E16" s="139" t="s">
        <v>172</v>
      </c>
      <c r="F16" s="139" t="s">
        <v>171</v>
      </c>
      <c r="G16" s="139"/>
      <c r="H16" s="139"/>
      <c r="I16" s="140"/>
      <c r="J16" s="140"/>
      <c r="K16" s="139"/>
      <c r="L16" s="139"/>
      <c r="M16" s="141">
        <f>SUM(Model!E20,Model!E21)</f>
        <v>0</v>
      </c>
      <c r="N16" s="141">
        <f>SUM(Model!F20,Model!F21)</f>
        <v>0</v>
      </c>
      <c r="O16" s="141">
        <f>SUM(Model!G20,Model!G21)</f>
        <v>0</v>
      </c>
      <c r="P16" s="141">
        <f>SUM(Model!H20,Model!H21)</f>
        <v>0</v>
      </c>
      <c r="Q16" s="141">
        <f>SUM(Model!I20,Model!I21)</f>
        <v>0</v>
      </c>
    </row>
    <row r="17" spans="1:17" x14ac:dyDescent="0.25">
      <c r="A17" s="139" t="s">
        <v>220</v>
      </c>
      <c r="B17" s="139" t="s">
        <v>162</v>
      </c>
      <c r="C17" s="139" t="s">
        <v>220</v>
      </c>
      <c r="D17" s="139" t="s">
        <v>245</v>
      </c>
      <c r="E17" s="139" t="s">
        <v>172</v>
      </c>
      <c r="F17" s="139" t="s">
        <v>171</v>
      </c>
      <c r="G17" s="139"/>
      <c r="H17" s="139"/>
      <c r="I17" s="140"/>
      <c r="J17" s="140"/>
      <c r="K17" s="139"/>
      <c r="L17" s="139"/>
      <c r="M17" s="141">
        <f>Model!E22</f>
        <v>0</v>
      </c>
      <c r="N17" s="141">
        <f>Model!F22</f>
        <v>0</v>
      </c>
      <c r="O17" s="141">
        <f>Model!G22</f>
        <v>0</v>
      </c>
      <c r="P17" s="141">
        <f>Model!H22</f>
        <v>0</v>
      </c>
      <c r="Q17" s="141">
        <f>Model!I22</f>
        <v>0</v>
      </c>
    </row>
    <row r="18" spans="1:17" x14ac:dyDescent="0.25">
      <c r="A18" s="139" t="s">
        <v>236</v>
      </c>
      <c r="B18" s="139" t="s">
        <v>162</v>
      </c>
      <c r="C18" s="139" t="s">
        <v>236</v>
      </c>
      <c r="D18" s="139" t="s">
        <v>173</v>
      </c>
      <c r="E18" s="139" t="s">
        <v>172</v>
      </c>
      <c r="F18" s="139" t="s">
        <v>171</v>
      </c>
      <c r="G18" s="139"/>
      <c r="H18" s="139"/>
      <c r="I18" s="140"/>
      <c r="J18" s="140"/>
      <c r="K18" s="139"/>
      <c r="L18" s="139"/>
      <c r="M18" s="141">
        <f>Model!E23</f>
        <v>0</v>
      </c>
      <c r="N18" s="141">
        <f>Model!F23</f>
        <v>0</v>
      </c>
      <c r="O18" s="141">
        <f>Model!G23</f>
        <v>0</v>
      </c>
      <c r="P18" s="141">
        <f>Model!H23</f>
        <v>0</v>
      </c>
      <c r="Q18" s="141">
        <f>Model!I23</f>
        <v>0</v>
      </c>
    </row>
    <row r="19" spans="1:17" x14ac:dyDescent="0.25">
      <c r="A19" s="139" t="s">
        <v>295</v>
      </c>
      <c r="B19" s="139" t="s">
        <v>162</v>
      </c>
      <c r="C19" s="139" t="s">
        <v>295</v>
      </c>
      <c r="D19" s="139" t="s">
        <v>317</v>
      </c>
      <c r="E19" s="139" t="s">
        <v>197</v>
      </c>
      <c r="F19" s="139" t="s">
        <v>198</v>
      </c>
      <c r="G19" s="139"/>
      <c r="H19" s="139"/>
      <c r="I19" s="140"/>
      <c r="J19" s="140"/>
      <c r="K19" s="139"/>
      <c r="L19" s="139"/>
      <c r="M19" s="141">
        <f>Model!E26</f>
        <v>0</v>
      </c>
      <c r="N19" s="141">
        <f>Model!F26</f>
        <v>0</v>
      </c>
      <c r="O19" s="141">
        <f>Model!G26</f>
        <v>0</v>
      </c>
      <c r="P19" s="141">
        <f>Model!H26</f>
        <v>0</v>
      </c>
      <c r="Q19" s="141">
        <f>Model!I26</f>
        <v>0</v>
      </c>
    </row>
    <row r="20" spans="1:17" x14ac:dyDescent="0.25">
      <c r="A20" s="139" t="s">
        <v>296</v>
      </c>
      <c r="B20" s="139" t="s">
        <v>162</v>
      </c>
      <c r="C20" s="139" t="s">
        <v>296</v>
      </c>
      <c r="D20" s="139" t="s">
        <v>318</v>
      </c>
      <c r="E20" s="139" t="s">
        <v>197</v>
      </c>
      <c r="F20" s="139" t="s">
        <v>198</v>
      </c>
      <c r="G20" s="139"/>
      <c r="H20" s="139"/>
      <c r="I20" s="140"/>
      <c r="J20" s="140"/>
      <c r="K20" s="139"/>
      <c r="L20" s="139"/>
      <c r="M20" s="141">
        <f>Model!E30</f>
        <v>0</v>
      </c>
      <c r="N20" s="141">
        <f>Model!F30</f>
        <v>0</v>
      </c>
      <c r="O20" s="141">
        <f>Model!G30</f>
        <v>0</v>
      </c>
      <c r="P20" s="141">
        <f>Model!H30</f>
        <v>0</v>
      </c>
      <c r="Q20" s="141">
        <f>Model!I30</f>
        <v>0</v>
      </c>
    </row>
    <row r="21" spans="1:17" x14ac:dyDescent="0.25">
      <c r="A21" s="139" t="s">
        <v>316</v>
      </c>
      <c r="B21" s="139" t="s">
        <v>162</v>
      </c>
      <c r="C21" s="139" t="s">
        <v>316</v>
      </c>
      <c r="D21" s="139" t="s">
        <v>319</v>
      </c>
      <c r="E21" s="139" t="s">
        <v>197</v>
      </c>
      <c r="F21" s="139" t="s">
        <v>198</v>
      </c>
      <c r="G21" s="139"/>
      <c r="H21" s="139"/>
      <c r="I21" s="140"/>
      <c r="J21" s="140"/>
      <c r="K21" s="139"/>
      <c r="L21" s="139"/>
      <c r="M21" s="141">
        <f>Model!E31</f>
        <v>0</v>
      </c>
      <c r="N21" s="141">
        <f>Model!F31</f>
        <v>0</v>
      </c>
      <c r="O21" s="141">
        <f>Model!G31</f>
        <v>0</v>
      </c>
      <c r="P21" s="141">
        <f>Model!H31</f>
        <v>0</v>
      </c>
      <c r="Q21" s="141">
        <f>Model!I31</f>
        <v>0</v>
      </c>
    </row>
    <row r="22" spans="1:17" x14ac:dyDescent="0.25">
      <c r="A22" s="139" t="s">
        <v>326</v>
      </c>
      <c r="B22" s="139" t="s">
        <v>162</v>
      </c>
      <c r="C22" s="139" t="s">
        <v>326</v>
      </c>
      <c r="D22" s="139" t="s">
        <v>320</v>
      </c>
      <c r="E22" s="139" t="s">
        <v>197</v>
      </c>
      <c r="F22" s="139" t="s">
        <v>198</v>
      </c>
      <c r="G22" s="139"/>
      <c r="H22" s="139"/>
      <c r="I22" s="140"/>
      <c r="J22" s="140"/>
      <c r="K22" s="139"/>
      <c r="L22" s="139"/>
      <c r="M22" s="141">
        <f>Model!E33</f>
        <v>0</v>
      </c>
      <c r="N22" s="141">
        <f>Model!F33</f>
        <v>0</v>
      </c>
      <c r="O22" s="141">
        <f>Model!G33</f>
        <v>0</v>
      </c>
      <c r="P22" s="141">
        <f>Model!H33</f>
        <v>0</v>
      </c>
      <c r="Q22" s="141">
        <f>Model!I33</f>
        <v>0</v>
      </c>
    </row>
    <row r="23" spans="1:17" x14ac:dyDescent="0.25">
      <c r="A23" s="139" t="s">
        <v>327</v>
      </c>
      <c r="B23" s="139" t="s">
        <v>162</v>
      </c>
      <c r="C23" s="139" t="s">
        <v>327</v>
      </c>
      <c r="D23" s="139" t="s">
        <v>321</v>
      </c>
      <c r="E23" s="139" t="s">
        <v>197</v>
      </c>
      <c r="F23" s="139" t="s">
        <v>198</v>
      </c>
      <c r="G23" s="139"/>
      <c r="H23" s="139"/>
      <c r="I23" s="140"/>
      <c r="J23" s="140"/>
      <c r="K23" s="139"/>
      <c r="L23" s="139"/>
      <c r="M23" s="141">
        <f>Model!E37</f>
        <v>0</v>
      </c>
      <c r="N23" s="141">
        <f>Model!F37</f>
        <v>0</v>
      </c>
      <c r="O23" s="141">
        <f>Model!G37</f>
        <v>0</v>
      </c>
      <c r="P23" s="141">
        <f>Model!H37</f>
        <v>0</v>
      </c>
      <c r="Q23" s="141">
        <f>Model!I37</f>
        <v>0</v>
      </c>
    </row>
    <row r="24" spans="1:17" x14ac:dyDescent="0.25">
      <c r="A24" s="139" t="s">
        <v>237</v>
      </c>
      <c r="B24" s="139" t="s">
        <v>162</v>
      </c>
      <c r="C24" s="139" t="s">
        <v>240</v>
      </c>
      <c r="D24" s="139" t="s">
        <v>199</v>
      </c>
      <c r="E24" s="139" t="s">
        <v>197</v>
      </c>
      <c r="F24" s="139" t="s">
        <v>198</v>
      </c>
      <c r="G24" s="139"/>
      <c r="H24" s="139"/>
      <c r="I24" s="140"/>
      <c r="J24" s="140"/>
      <c r="K24" s="139"/>
      <c r="L24" s="139"/>
      <c r="M24" s="141">
        <f>Model!E39</f>
        <v>0</v>
      </c>
      <c r="N24" s="141">
        <f>Model!F39</f>
        <v>0</v>
      </c>
      <c r="O24" s="141">
        <f>Model!G39</f>
        <v>0</v>
      </c>
      <c r="P24" s="141">
        <f>Model!H39</f>
        <v>0</v>
      </c>
      <c r="Q24" s="141">
        <f>Model!I39</f>
        <v>0</v>
      </c>
    </row>
    <row r="25" spans="1:17" x14ac:dyDescent="0.25">
      <c r="A25" s="139" t="s">
        <v>238</v>
      </c>
      <c r="B25" s="139" t="s">
        <v>162</v>
      </c>
      <c r="C25" s="139" t="s">
        <v>238</v>
      </c>
      <c r="D25" s="139" t="s">
        <v>200</v>
      </c>
      <c r="E25" s="139" t="s">
        <v>197</v>
      </c>
      <c r="F25" s="139" t="s">
        <v>198</v>
      </c>
      <c r="G25" s="139"/>
      <c r="H25" s="139"/>
      <c r="I25" s="140"/>
      <c r="J25" s="140"/>
      <c r="K25" s="139"/>
      <c r="L25" s="139"/>
      <c r="M25" s="141">
        <f>Model!E43</f>
        <v>0</v>
      </c>
      <c r="N25" s="141">
        <f>Model!F43</f>
        <v>0</v>
      </c>
      <c r="O25" s="141">
        <f>Model!G43</f>
        <v>0</v>
      </c>
      <c r="P25" s="141">
        <f>Model!H43</f>
        <v>0</v>
      </c>
      <c r="Q25" s="141">
        <f>Model!I43</f>
        <v>0</v>
      </c>
    </row>
    <row r="26" spans="1:17" x14ac:dyDescent="0.25">
      <c r="A26" s="139" t="s">
        <v>239</v>
      </c>
      <c r="B26" s="139" t="s">
        <v>162</v>
      </c>
      <c r="C26" s="139" t="s">
        <v>241</v>
      </c>
      <c r="D26" s="139" t="s">
        <v>201</v>
      </c>
      <c r="E26" s="139" t="s">
        <v>197</v>
      </c>
      <c r="F26" s="139" t="s">
        <v>198</v>
      </c>
      <c r="G26" s="139"/>
      <c r="H26" s="139"/>
      <c r="I26" s="140"/>
      <c r="J26" s="140"/>
      <c r="K26" s="139"/>
      <c r="L26" s="139"/>
      <c r="M26" s="141">
        <f>Model!E44</f>
        <v>0</v>
      </c>
      <c r="N26" s="141">
        <f>Model!F44</f>
        <v>0</v>
      </c>
      <c r="O26" s="141">
        <f>Model!G44</f>
        <v>0</v>
      </c>
      <c r="P26" s="141">
        <f>Model!H44</f>
        <v>0</v>
      </c>
      <c r="Q26" s="141">
        <f>Model!I44</f>
        <v>0</v>
      </c>
    </row>
    <row r="33" spans="16:16" x14ac:dyDescent="0.25">
      <c r="P33" s="134" t="s">
        <v>274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F7545-787E-47D5-A81D-527FE013B894}">
  <dimension ref="A1:H17"/>
  <sheetViews>
    <sheetView zoomScale="130" zoomScaleNormal="130" workbookViewId="0">
      <selection activeCell="B15" sqref="B15"/>
    </sheetView>
  </sheetViews>
  <sheetFormatPr defaultRowHeight="15" x14ac:dyDescent="0.25"/>
  <cols>
    <col min="1" max="1" width="34.28515625" style="150" bestFit="1" customWidth="1"/>
    <col min="2" max="2" width="8.7109375" style="150" bestFit="1" customWidth="1"/>
    <col min="3" max="3" width="9.140625" style="158" bestFit="1" customWidth="1"/>
    <col min="4" max="8" width="9.85546875" style="158" bestFit="1" customWidth="1"/>
    <col min="9" max="16384" width="9.140625" style="150"/>
  </cols>
  <sheetData>
    <row r="1" spans="1:8" x14ac:dyDescent="0.25">
      <c r="A1" s="150" t="s">
        <v>4</v>
      </c>
      <c r="C1" s="157"/>
      <c r="D1" s="157">
        <v>2026</v>
      </c>
      <c r="E1" s="157">
        <f t="shared" ref="E1:H1" si="0">D1+1</f>
        <v>2027</v>
      </c>
      <c r="F1" s="157">
        <f t="shared" si="0"/>
        <v>2028</v>
      </c>
      <c r="G1" s="157">
        <f t="shared" si="0"/>
        <v>2029</v>
      </c>
      <c r="H1" s="157">
        <f t="shared" si="0"/>
        <v>2030</v>
      </c>
    </row>
    <row r="2" spans="1:8" x14ac:dyDescent="0.25">
      <c r="C2" s="157"/>
      <c r="D2" s="157">
        <v>2027</v>
      </c>
      <c r="E2" s="157">
        <f t="shared" ref="E2:H2" si="1">D2+1</f>
        <v>2028</v>
      </c>
      <c r="F2" s="157">
        <f t="shared" si="1"/>
        <v>2029</v>
      </c>
      <c r="G2" s="157">
        <f t="shared" si="1"/>
        <v>2030</v>
      </c>
      <c r="H2" s="157">
        <f t="shared" si="1"/>
        <v>2031</v>
      </c>
    </row>
    <row r="3" spans="1:8" x14ac:dyDescent="0.25">
      <c r="A3" s="151" t="s">
        <v>0</v>
      </c>
      <c r="B3" s="152"/>
      <c r="C3" s="159"/>
      <c r="D3" s="159"/>
      <c r="E3" s="159"/>
      <c r="F3" s="159"/>
      <c r="G3" s="159"/>
      <c r="H3" s="159"/>
    </row>
    <row r="4" spans="1:8" x14ac:dyDescent="0.25">
      <c r="A4" s="149" t="s">
        <v>1</v>
      </c>
      <c r="B4" s="153" t="s">
        <v>5</v>
      </c>
      <c r="C4" s="160"/>
      <c r="D4" s="160">
        <f>machine_readable!M2</f>
        <v>0</v>
      </c>
      <c r="E4" s="160">
        <f>machine_readable!N2</f>
        <v>0</v>
      </c>
      <c r="F4" s="160">
        <f>machine_readable!O2</f>
        <v>0</v>
      </c>
      <c r="G4" s="160">
        <f>machine_readable!P2</f>
        <v>0</v>
      </c>
      <c r="H4" s="160">
        <f>machine_readable!Q2</f>
        <v>0</v>
      </c>
    </row>
    <row r="5" spans="1:8" x14ac:dyDescent="0.25">
      <c r="A5" s="149" t="s">
        <v>2</v>
      </c>
      <c r="B5" s="153" t="s">
        <v>5</v>
      </c>
      <c r="C5" s="160"/>
      <c r="D5" s="160">
        <f>machine_readable!M3</f>
        <v>0</v>
      </c>
      <c r="E5" s="160">
        <f>machine_readable!N3</f>
        <v>0</v>
      </c>
      <c r="F5" s="160">
        <f>machine_readable!O3</f>
        <v>0</v>
      </c>
      <c r="G5" s="160">
        <f>machine_readable!P3</f>
        <v>0</v>
      </c>
      <c r="H5" s="160">
        <f>machine_readable!Q3</f>
        <v>0</v>
      </c>
    </row>
    <row r="6" spans="1:8" x14ac:dyDescent="0.25">
      <c r="A6" s="149" t="s">
        <v>3</v>
      </c>
      <c r="B6" s="153" t="s">
        <v>5</v>
      </c>
      <c r="C6" s="161"/>
      <c r="D6" s="161">
        <f t="shared" ref="D6:G6" si="2">D4-D5</f>
        <v>0</v>
      </c>
      <c r="E6" s="161">
        <f t="shared" si="2"/>
        <v>0</v>
      </c>
      <c r="F6" s="161">
        <f t="shared" si="2"/>
        <v>0</v>
      </c>
      <c r="G6" s="161">
        <f t="shared" si="2"/>
        <v>0</v>
      </c>
      <c r="H6" s="161">
        <f t="shared" ref="H6" si="3">H4-H5</f>
        <v>0</v>
      </c>
    </row>
    <row r="9" spans="1:8" x14ac:dyDescent="0.25">
      <c r="A9" s="154" t="s">
        <v>7</v>
      </c>
      <c r="B9" s="154"/>
      <c r="C9" s="162"/>
      <c r="D9" s="162"/>
      <c r="E9" s="162"/>
      <c r="F9" s="162"/>
      <c r="G9" s="162"/>
      <c r="H9" s="162"/>
    </row>
    <row r="10" spans="1:8" x14ac:dyDescent="0.25">
      <c r="A10" s="155" t="s">
        <v>53</v>
      </c>
      <c r="B10" s="155" t="s">
        <v>5</v>
      </c>
      <c r="C10" s="163"/>
      <c r="D10" s="163">
        <f>Model!E53</f>
        <v>0</v>
      </c>
      <c r="E10" s="163">
        <f>Model!F53</f>
        <v>0</v>
      </c>
      <c r="F10" s="163">
        <f>Model!G53</f>
        <v>0</v>
      </c>
      <c r="G10" s="163">
        <f>Model!H53</f>
        <v>0</v>
      </c>
      <c r="H10" s="163">
        <f>Model!I53</f>
        <v>0</v>
      </c>
    </row>
    <row r="11" spans="1:8" x14ac:dyDescent="0.25">
      <c r="A11" s="155" t="s">
        <v>8</v>
      </c>
      <c r="B11" s="155" t="s">
        <v>5</v>
      </c>
      <c r="C11" s="163"/>
      <c r="D11" s="163">
        <f>Model!E54</f>
        <v>0</v>
      </c>
      <c r="E11" s="163">
        <f>Model!F54</f>
        <v>0</v>
      </c>
      <c r="F11" s="163">
        <f>Model!G54</f>
        <v>0</v>
      </c>
      <c r="G11" s="163">
        <f>Model!H54</f>
        <v>0</v>
      </c>
      <c r="H11" s="163">
        <f>Model!I54</f>
        <v>0</v>
      </c>
    </row>
    <row r="12" spans="1:8" x14ac:dyDescent="0.25">
      <c r="A12" s="155" t="s">
        <v>9</v>
      </c>
      <c r="B12" s="155" t="s">
        <v>5</v>
      </c>
      <c r="C12" s="163"/>
      <c r="D12" s="163">
        <f>Model!E53+Model!E6</f>
        <v>0</v>
      </c>
      <c r="E12" s="163">
        <f>Model!F53+Model!F6</f>
        <v>0</v>
      </c>
      <c r="F12" s="163">
        <f>Model!G53+Model!G6</f>
        <v>0</v>
      </c>
      <c r="G12" s="163">
        <f>Model!H53+Model!H6</f>
        <v>0</v>
      </c>
      <c r="H12" s="163">
        <f>Model!I53+Model!I6</f>
        <v>0</v>
      </c>
    </row>
    <row r="13" spans="1:8" x14ac:dyDescent="0.25">
      <c r="A13" s="155" t="s">
        <v>52</v>
      </c>
      <c r="B13" s="155" t="s">
        <v>5</v>
      </c>
      <c r="C13" s="164"/>
      <c r="D13" s="164">
        <f>SUM($C10:D10)</f>
        <v>0</v>
      </c>
      <c r="E13" s="164">
        <f>SUM($C10:E10)</f>
        <v>0</v>
      </c>
      <c r="F13" s="164">
        <f>SUM($C10:F10)</f>
        <v>0</v>
      </c>
      <c r="G13" s="164">
        <f>SUM($C10:G10)</f>
        <v>0</v>
      </c>
      <c r="H13" s="164">
        <f>SUM($C10:H10)</f>
        <v>0</v>
      </c>
    </row>
    <row r="15" spans="1:8" ht="90" x14ac:dyDescent="0.25">
      <c r="A15" s="165" t="s">
        <v>119</v>
      </c>
      <c r="B15" s="156"/>
    </row>
    <row r="16" spans="1:8" x14ac:dyDescent="0.25">
      <c r="A16" s="156"/>
      <c r="B16" s="156"/>
    </row>
    <row r="17" spans="1:2" x14ac:dyDescent="0.25">
      <c r="A17" s="156"/>
      <c r="B17" s="15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7E90E-259F-4B12-BB0C-68506FD8C7E4}">
  <dimension ref="A1:W63"/>
  <sheetViews>
    <sheetView zoomScale="92" zoomScaleNormal="100" workbookViewId="0">
      <selection activeCell="E17" sqref="E17"/>
    </sheetView>
  </sheetViews>
  <sheetFormatPr defaultRowHeight="15" x14ac:dyDescent="0.25"/>
  <cols>
    <col min="1" max="1" width="77.42578125" customWidth="1"/>
    <col min="2" max="2" width="42.140625" style="36" bestFit="1" customWidth="1"/>
    <col min="4" max="4" width="11.7109375" bestFit="1" customWidth="1"/>
    <col min="5" max="5" width="11.85546875" bestFit="1" customWidth="1"/>
    <col min="6" max="6" width="12.5703125" bestFit="1" customWidth="1"/>
    <col min="7" max="9" width="12.85546875" bestFit="1" customWidth="1"/>
  </cols>
  <sheetData>
    <row r="1" spans="1:9" x14ac:dyDescent="0.25">
      <c r="A1" t="s">
        <v>4</v>
      </c>
      <c r="D1">
        <v>2025</v>
      </c>
      <c r="E1">
        <f>D1+1</f>
        <v>2026</v>
      </c>
      <c r="F1">
        <f t="shared" ref="F1:I2" si="0">E1+1</f>
        <v>2027</v>
      </c>
      <c r="G1">
        <f>F1+1</f>
        <v>2028</v>
      </c>
      <c r="H1">
        <f t="shared" si="0"/>
        <v>2029</v>
      </c>
      <c r="I1">
        <f t="shared" si="0"/>
        <v>2030</v>
      </c>
    </row>
    <row r="2" spans="1:9" x14ac:dyDescent="0.25">
      <c r="D2">
        <v>2026</v>
      </c>
      <c r="E2">
        <f>D2+1</f>
        <v>2027</v>
      </c>
      <c r="F2">
        <f t="shared" si="0"/>
        <v>2028</v>
      </c>
      <c r="G2">
        <f>F2+1</f>
        <v>2029</v>
      </c>
      <c r="H2">
        <f t="shared" si="0"/>
        <v>2030</v>
      </c>
      <c r="I2">
        <f t="shared" si="0"/>
        <v>2031</v>
      </c>
    </row>
    <row r="3" spans="1:9" x14ac:dyDescent="0.25">
      <c r="A3" s="1" t="s">
        <v>0</v>
      </c>
      <c r="B3" s="37" t="s">
        <v>27</v>
      </c>
      <c r="C3" s="2"/>
      <c r="D3" s="2"/>
      <c r="E3" s="2"/>
      <c r="F3" s="2"/>
      <c r="G3" s="2"/>
      <c r="H3" s="2"/>
      <c r="I3" s="2"/>
    </row>
    <row r="4" spans="1:9" x14ac:dyDescent="0.25">
      <c r="A4" s="3" t="s">
        <v>1</v>
      </c>
      <c r="B4" s="38"/>
      <c r="C4" s="4" t="s">
        <v>5</v>
      </c>
      <c r="D4" s="57">
        <f>'For user (EN)'!C4</f>
        <v>0</v>
      </c>
      <c r="E4" s="57">
        <f>'For user (EN)'!D4</f>
        <v>0</v>
      </c>
      <c r="F4" s="57">
        <f>'For user (EN)'!E4</f>
        <v>0</v>
      </c>
      <c r="G4" s="57">
        <f>'For user (EN)'!F4</f>
        <v>0</v>
      </c>
      <c r="H4" s="57">
        <f>'For user (EN)'!G4</f>
        <v>0</v>
      </c>
      <c r="I4" s="57">
        <f>'For user (EN)'!H4</f>
        <v>0</v>
      </c>
    </row>
    <row r="5" spans="1:9" x14ac:dyDescent="0.25">
      <c r="A5" s="3" t="s">
        <v>2</v>
      </c>
      <c r="B5" s="38"/>
      <c r="C5" s="4" t="s">
        <v>5</v>
      </c>
      <c r="D5" s="57">
        <f>'For user (EN)'!C5</f>
        <v>0</v>
      </c>
      <c r="E5" s="57">
        <f>'For user (EN)'!D5</f>
        <v>0</v>
      </c>
      <c r="F5" s="57">
        <f>'For user (EN)'!E5</f>
        <v>0</v>
      </c>
      <c r="G5" s="57">
        <f>'For user (EN)'!F5</f>
        <v>0</v>
      </c>
      <c r="H5" s="57">
        <f>'For user (EN)'!G5</f>
        <v>0</v>
      </c>
      <c r="I5" s="57">
        <f>'For user (EN)'!H5</f>
        <v>0</v>
      </c>
    </row>
    <row r="6" spans="1:9" x14ac:dyDescent="0.25">
      <c r="A6" s="3" t="s">
        <v>3</v>
      </c>
      <c r="B6" s="38"/>
      <c r="C6" s="4" t="s">
        <v>5</v>
      </c>
      <c r="D6" s="57">
        <f>'For user (EN)'!C6</f>
        <v>0</v>
      </c>
      <c r="E6" s="57">
        <f>'For user (EN)'!D6</f>
        <v>0</v>
      </c>
      <c r="F6" s="57">
        <f>'For user (EN)'!E6</f>
        <v>0</v>
      </c>
      <c r="G6" s="57">
        <f>'For user (EN)'!F6</f>
        <v>0</v>
      </c>
      <c r="H6" s="57">
        <f>'For user (EN)'!G6</f>
        <v>0</v>
      </c>
      <c r="I6" s="57">
        <f>'For user (EN)'!H6</f>
        <v>0</v>
      </c>
    </row>
    <row r="8" spans="1:9" x14ac:dyDescent="0.25">
      <c r="A8" s="5" t="s">
        <v>6</v>
      </c>
      <c r="B8" s="39"/>
      <c r="C8" s="6"/>
      <c r="D8" s="6"/>
      <c r="E8" s="6"/>
      <c r="F8" s="6"/>
      <c r="G8" s="6"/>
      <c r="H8" s="6"/>
      <c r="I8" s="6"/>
    </row>
    <row r="9" spans="1:9" x14ac:dyDescent="0.25">
      <c r="A9" s="26" t="s">
        <v>113</v>
      </c>
      <c r="B9" s="40"/>
      <c r="C9" s="27"/>
      <c r="D9" s="27"/>
      <c r="E9" s="27"/>
      <c r="F9" s="27"/>
      <c r="G9" s="27"/>
      <c r="H9" s="27"/>
      <c r="I9" s="27"/>
    </row>
    <row r="10" spans="1:9" x14ac:dyDescent="0.25">
      <c r="A10" s="32" t="s">
        <v>45</v>
      </c>
      <c r="B10" s="34" t="s">
        <v>31</v>
      </c>
      <c r="C10" s="48"/>
      <c r="D10" s="33">
        <f>'Fiscal Model Import'!F12</f>
        <v>2.4220834166666654</v>
      </c>
      <c r="E10" s="33">
        <f>'Fiscal Model Import'!G12</f>
        <v>2.2000000000000002</v>
      </c>
      <c r="F10" s="33">
        <f>'Fiscal Model Import'!H12</f>
        <v>2.5750000000000002</v>
      </c>
      <c r="G10" s="33">
        <f>'Fiscal Model Import'!I12</f>
        <v>2.7</v>
      </c>
      <c r="H10" s="33">
        <f>'Fiscal Model Import'!J12</f>
        <v>2.7</v>
      </c>
      <c r="I10" s="33">
        <f>'Fiscal Model Import'!K12</f>
        <v>2.7</v>
      </c>
    </row>
    <row r="11" spans="1:9" x14ac:dyDescent="0.25">
      <c r="A11" s="32" t="s">
        <v>297</v>
      </c>
      <c r="B11" s="34" t="s">
        <v>32</v>
      </c>
      <c r="C11" s="48"/>
      <c r="D11" s="33">
        <f>'Fiscal Model Import'!F20</f>
        <v>2.9513889166666649</v>
      </c>
      <c r="E11" s="33">
        <f>'Fiscal Model Import'!G20</f>
        <v>2.6044361396800246</v>
      </c>
      <c r="F11" s="33">
        <f>'Fiscal Model Import'!H20</f>
        <v>2.8517559274426394</v>
      </c>
      <c r="G11" s="33">
        <f>'Fiscal Model Import'!I20</f>
        <v>2.8932879256965944</v>
      </c>
      <c r="H11" s="33">
        <f>'Fiscal Model Import'!J20</f>
        <v>2.8932879256965944</v>
      </c>
      <c r="I11" s="33">
        <f>'Fiscal Model Import'!K20</f>
        <v>2.8932879256965944</v>
      </c>
    </row>
    <row r="12" spans="1:9" x14ac:dyDescent="0.25">
      <c r="A12" s="25" t="s">
        <v>46</v>
      </c>
      <c r="B12" s="35" t="s">
        <v>31</v>
      </c>
      <c r="C12" s="29"/>
      <c r="D12" s="31">
        <f>'Fiscal Model Import'!F13</f>
        <v>3.7068182499999973</v>
      </c>
      <c r="E12" s="31">
        <f>'Fiscal Model Import'!G13</f>
        <v>3.8076797499999997</v>
      </c>
      <c r="F12" s="31">
        <f>'Fiscal Model Import'!H13</f>
        <v>3.7604842500000002</v>
      </c>
      <c r="G12" s="31">
        <f>'Fiscal Model Import'!I13</f>
        <v>3.75</v>
      </c>
      <c r="H12" s="31">
        <f>'Fiscal Model Import'!J13</f>
        <v>3.75</v>
      </c>
      <c r="I12" s="31">
        <f>'Fiscal Model Import'!K13</f>
        <v>3.75</v>
      </c>
    </row>
    <row r="13" spans="1:9" x14ac:dyDescent="0.25">
      <c r="A13" s="25" t="s">
        <v>226</v>
      </c>
      <c r="B13" s="35" t="s">
        <v>31</v>
      </c>
      <c r="C13" s="29"/>
      <c r="D13" s="31">
        <f>'Fiscal Model Import'!F16</f>
        <v>2.9513889166666649</v>
      </c>
      <c r="E13" s="31">
        <f>'Fiscal Model Import'!G16</f>
        <v>2.4880752449431824</v>
      </c>
      <c r="F13" s="31">
        <f>'Fiscal Model Import'!H16</f>
        <v>2.7674466657475927</v>
      </c>
      <c r="G13" s="31">
        <f>'Fiscal Model Import'!I16</f>
        <v>2.82</v>
      </c>
      <c r="H13" s="31">
        <f>'Fiscal Model Import'!J16</f>
        <v>2.82</v>
      </c>
      <c r="I13" s="31">
        <f>'Fiscal Model Import'!K16</f>
        <v>2.82</v>
      </c>
    </row>
    <row r="14" spans="1:9" x14ac:dyDescent="0.25">
      <c r="A14" s="25" t="s">
        <v>227</v>
      </c>
      <c r="B14" s="35" t="s">
        <v>31</v>
      </c>
      <c r="C14" s="29"/>
      <c r="D14" s="31">
        <f>'Fiscal Model Import'!F17</f>
        <v>2.9513889166666649</v>
      </c>
      <c r="E14" s="31">
        <f>'Fiscal Model Import'!G17</f>
        <v>2.5634453699431825</v>
      </c>
      <c r="F14" s="31">
        <f>'Fiscal Model Import'!H17</f>
        <v>2.8226651007475927</v>
      </c>
      <c r="G14" s="31">
        <f>'Fiscal Model Import'!I17</f>
        <v>2.8679999999999999</v>
      </c>
      <c r="H14" s="31">
        <f>'Fiscal Model Import'!J17</f>
        <v>2.8679999999999999</v>
      </c>
      <c r="I14" s="31">
        <f>'Fiscal Model Import'!K17</f>
        <v>2.8679999999999999</v>
      </c>
    </row>
    <row r="15" spans="1:9" x14ac:dyDescent="0.25">
      <c r="A15" s="25" t="s">
        <v>228</v>
      </c>
      <c r="B15" s="35" t="s">
        <v>31</v>
      </c>
      <c r="C15" s="29"/>
      <c r="D15" s="31">
        <f>'Fiscal Model Import'!F18</f>
        <v>2.9513889166666649</v>
      </c>
      <c r="E15" s="31">
        <f>'Fiscal Model Import'!G18</f>
        <v>2.764432369943183</v>
      </c>
      <c r="F15" s="31">
        <f>'Fiscal Model Import'!H18</f>
        <v>2.9699142607475926</v>
      </c>
      <c r="G15" s="31">
        <f>'Fiscal Model Import'!I18</f>
        <v>2.996</v>
      </c>
      <c r="H15" s="31">
        <f>'Fiscal Model Import'!J18</f>
        <v>2.996</v>
      </c>
      <c r="I15" s="31">
        <f>'Fiscal Model Import'!K18</f>
        <v>2.996</v>
      </c>
    </row>
    <row r="16" spans="1:9" x14ac:dyDescent="0.25">
      <c r="A16" s="25" t="s">
        <v>298</v>
      </c>
      <c r="B16" s="35" t="s">
        <v>31</v>
      </c>
      <c r="C16" s="29"/>
      <c r="D16" s="31">
        <f>'Fiscal Model Import'!F14</f>
        <v>3.3042592499999976</v>
      </c>
      <c r="E16" s="31">
        <f>'Fiscal Model Import'!G14</f>
        <v>3.4561687500000002</v>
      </c>
      <c r="F16" s="31">
        <f>'Fiscal Model Import'!H14</f>
        <v>3.4953072499999998</v>
      </c>
      <c r="G16" s="31">
        <f>'Fiscal Model Import'!I14</f>
        <v>3.5</v>
      </c>
      <c r="H16" s="31">
        <f>'Fiscal Model Import'!J14</f>
        <v>3.5</v>
      </c>
      <c r="I16" s="31">
        <f>'Fiscal Model Import'!K14</f>
        <v>3.5</v>
      </c>
    </row>
    <row r="17" spans="1:23" x14ac:dyDescent="0.25">
      <c r="A17" s="7" t="s">
        <v>51</v>
      </c>
      <c r="B17" s="35" t="s">
        <v>32</v>
      </c>
      <c r="C17" s="29"/>
      <c r="D17" s="8">
        <f>'Fiscal Model Import'!F21</f>
        <v>2.8419065645384172</v>
      </c>
      <c r="E17" s="8">
        <f>'Fiscal Model Import'!G21</f>
        <v>2.6580713627470329</v>
      </c>
      <c r="F17" s="8">
        <f>'Fiscal Model Import'!H21</f>
        <v>2.8980501102243621</v>
      </c>
      <c r="G17" s="8">
        <f>'Fiscal Model Import'!I21</f>
        <v>2.9683548806065292</v>
      </c>
      <c r="H17" s="8">
        <f>'Fiscal Model Import'!J21</f>
        <v>2.9683548806065292</v>
      </c>
      <c r="I17" s="8">
        <f>'Fiscal Model Import'!K21</f>
        <v>2.9683548806065292</v>
      </c>
    </row>
    <row r="18" spans="1:23" x14ac:dyDescent="0.25">
      <c r="A18" s="7"/>
      <c r="B18" s="35"/>
      <c r="C18" s="29"/>
      <c r="D18" s="8"/>
      <c r="E18" s="8"/>
      <c r="F18" s="8"/>
      <c r="G18" s="8"/>
      <c r="H18" s="8"/>
      <c r="I18" s="8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</row>
    <row r="19" spans="1:23" x14ac:dyDescent="0.25">
      <c r="A19" s="28" t="s">
        <v>26</v>
      </c>
      <c r="B19" s="29"/>
      <c r="C19" s="29"/>
      <c r="D19" s="29"/>
      <c r="E19" s="29"/>
      <c r="F19" s="29"/>
      <c r="G19" s="29"/>
      <c r="H19" s="29"/>
      <c r="I19" s="29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</row>
    <row r="20" spans="1:23" x14ac:dyDescent="0.25">
      <c r="A20" s="7" t="s">
        <v>233</v>
      </c>
      <c r="B20" s="35" t="s">
        <v>28</v>
      </c>
      <c r="C20" s="29"/>
      <c r="D20" s="9">
        <f>SUM('Model Quarterly'!D19:G20)</f>
        <v>0</v>
      </c>
      <c r="E20" s="9">
        <f>SUM('Model Quarterly'!H19:K19)</f>
        <v>0</v>
      </c>
      <c r="F20" s="9">
        <f>SUM('Model Quarterly'!L19:O19)</f>
        <v>0</v>
      </c>
      <c r="G20" s="9">
        <f>SUM('Model Quarterly'!P19:S19)</f>
        <v>0</v>
      </c>
      <c r="H20" s="9">
        <f>SUM('Model Quarterly'!T19:W19)</f>
        <v>0</v>
      </c>
      <c r="I20" s="9">
        <f>SUM('Model Quarterly'!X19:AA19)</f>
        <v>0</v>
      </c>
      <c r="V20" s="23"/>
    </row>
    <row r="21" spans="1:23" x14ac:dyDescent="0.25">
      <c r="A21" s="7" t="s">
        <v>234</v>
      </c>
      <c r="B21" s="35" t="s">
        <v>29</v>
      </c>
      <c r="C21" s="29"/>
      <c r="D21" s="9">
        <f t="shared" ref="D21:I21" si="1">D53-D20</f>
        <v>0</v>
      </c>
      <c r="E21" s="9">
        <f>E53-E20</f>
        <v>0</v>
      </c>
      <c r="F21" s="9">
        <f>F53-F20</f>
        <v>0</v>
      </c>
      <c r="G21" s="9">
        <f t="shared" si="1"/>
        <v>0</v>
      </c>
      <c r="H21" s="9">
        <f t="shared" si="1"/>
        <v>0</v>
      </c>
      <c r="I21" s="9">
        <f t="shared" si="1"/>
        <v>0</v>
      </c>
    </row>
    <row r="22" spans="1:23" ht="26.25" x14ac:dyDescent="0.25">
      <c r="A22" s="7" t="s">
        <v>220</v>
      </c>
      <c r="B22" s="35" t="s">
        <v>30</v>
      </c>
      <c r="C22" s="29"/>
      <c r="D22" s="9">
        <f t="shared" ref="D22:H22" si="2">-(D6+D20+D21)</f>
        <v>0</v>
      </c>
      <c r="E22" s="9">
        <f>-(E6+E20+E21)</f>
        <v>0</v>
      </c>
      <c r="F22" s="9">
        <f>-(F6+F20+F21)</f>
        <v>0</v>
      </c>
      <c r="G22" s="9">
        <f t="shared" si="2"/>
        <v>0</v>
      </c>
      <c r="H22" s="9">
        <f t="shared" si="2"/>
        <v>0</v>
      </c>
      <c r="I22" s="9">
        <f>-(I6+I20+I21)</f>
        <v>0</v>
      </c>
    </row>
    <row r="23" spans="1:23" ht="26.25" x14ac:dyDescent="0.25">
      <c r="A23" s="7" t="s">
        <v>236</v>
      </c>
      <c r="B23" s="35" t="s">
        <v>235</v>
      </c>
      <c r="C23" s="29"/>
      <c r="D23" s="9">
        <f t="shared" ref="D23:I23" si="3">MAX(0,D54*-1)</f>
        <v>0</v>
      </c>
      <c r="E23" s="9">
        <f t="shared" si="3"/>
        <v>0</v>
      </c>
      <c r="F23" s="9">
        <f t="shared" si="3"/>
        <v>0</v>
      </c>
      <c r="G23" s="9">
        <f t="shared" si="3"/>
        <v>0</v>
      </c>
      <c r="H23" s="9">
        <f t="shared" si="3"/>
        <v>0</v>
      </c>
      <c r="I23" s="9">
        <f t="shared" si="3"/>
        <v>0</v>
      </c>
    </row>
    <row r="24" spans="1:23" x14ac:dyDescent="0.25">
      <c r="A24" s="7"/>
      <c r="B24" s="35"/>
      <c r="C24" s="29"/>
      <c r="D24" s="9"/>
      <c r="E24" s="9"/>
      <c r="F24" s="9"/>
      <c r="G24" s="9"/>
      <c r="H24" s="9"/>
      <c r="I24" s="9"/>
    </row>
    <row r="25" spans="1:23" x14ac:dyDescent="0.25">
      <c r="A25" s="28" t="s">
        <v>112</v>
      </c>
      <c r="B25" s="41"/>
      <c r="C25" s="29"/>
      <c r="D25" s="30"/>
      <c r="E25" s="30"/>
      <c r="F25" s="30"/>
      <c r="G25" s="30"/>
      <c r="H25" s="30"/>
      <c r="I25" s="30"/>
    </row>
    <row r="26" spans="1:23" ht="26.25" x14ac:dyDescent="0.25">
      <c r="A26" s="25" t="s">
        <v>299</v>
      </c>
      <c r="B26" s="35" t="s">
        <v>107</v>
      </c>
      <c r="C26" s="29"/>
      <c r="D26" s="9">
        <f>SUM('Model Quarterly'!D28:G28)</f>
        <v>0</v>
      </c>
      <c r="E26" s="58">
        <f>SUM('Model Quarterly'!H28:K28)</f>
        <v>0</v>
      </c>
      <c r="F26" s="58">
        <f>SUM('Model Quarterly'!L28:O28)</f>
        <v>0</v>
      </c>
      <c r="G26" s="58">
        <f>SUM('Model Quarterly'!P28:S28)</f>
        <v>0</v>
      </c>
      <c r="H26" s="58">
        <f>SUM('Model Quarterly'!T28:W28)</f>
        <v>0</v>
      </c>
      <c r="I26" s="58">
        <f>SUM('Model Quarterly'!X28:AA28)</f>
        <v>0</v>
      </c>
    </row>
    <row r="27" spans="1:23" ht="26.25" x14ac:dyDescent="0.25">
      <c r="A27" s="25" t="s">
        <v>300</v>
      </c>
      <c r="B27" s="35" t="s">
        <v>210</v>
      </c>
      <c r="C27" s="29"/>
      <c r="D27" s="9">
        <f>SUM('Model Quarterly'!D29:G29)</f>
        <v>0</v>
      </c>
      <c r="E27" s="58">
        <f>SUM('Model Quarterly'!H29:K29)</f>
        <v>0</v>
      </c>
      <c r="F27" s="58">
        <f>SUM('Model Quarterly'!L29:O29)</f>
        <v>0</v>
      </c>
      <c r="G27" s="58">
        <f>SUM('Model Quarterly'!P29:S29)</f>
        <v>0</v>
      </c>
      <c r="H27" s="58">
        <f>SUM('Model Quarterly'!T29:W29)</f>
        <v>0</v>
      </c>
      <c r="I27" s="58">
        <f>SUM('Model Quarterly'!X29:AA29)</f>
        <v>0</v>
      </c>
    </row>
    <row r="28" spans="1:23" ht="26.25" x14ac:dyDescent="0.25">
      <c r="A28" s="25" t="s">
        <v>301</v>
      </c>
      <c r="B28" s="35" t="s">
        <v>211</v>
      </c>
      <c r="C28" s="29"/>
      <c r="D28" s="9">
        <f>SUM('Model Quarterly'!D30:G30)</f>
        <v>0</v>
      </c>
      <c r="E28" s="58">
        <f>SUM('Model Quarterly'!H30:K30)</f>
        <v>0</v>
      </c>
      <c r="F28" s="58">
        <f>SUM('Model Quarterly'!L30:O30)</f>
        <v>0</v>
      </c>
      <c r="G28" s="58">
        <f>SUM('Model Quarterly'!P30:S30)</f>
        <v>0</v>
      </c>
      <c r="H28" s="58">
        <f>SUM('Model Quarterly'!T30:W30)</f>
        <v>0</v>
      </c>
      <c r="I28" s="58">
        <f>SUM('Model Quarterly'!X30:AA30)</f>
        <v>0</v>
      </c>
    </row>
    <row r="29" spans="1:23" ht="26.25" x14ac:dyDescent="0.25">
      <c r="A29" s="25" t="s">
        <v>302</v>
      </c>
      <c r="B29" s="35" t="s">
        <v>212</v>
      </c>
      <c r="C29" s="29"/>
      <c r="D29" s="9">
        <f>SUM('Model Quarterly'!D31:G31)</f>
        <v>0</v>
      </c>
      <c r="E29" s="58">
        <f>SUM('Model Quarterly'!H31:K31)</f>
        <v>0</v>
      </c>
      <c r="F29" s="58">
        <f>SUM('Model Quarterly'!L31:O31)</f>
        <v>0</v>
      </c>
      <c r="G29" s="58">
        <f>SUM('Model Quarterly'!P31:S31)</f>
        <v>0</v>
      </c>
      <c r="H29" s="58">
        <f>SUM('Model Quarterly'!T31:W31)</f>
        <v>0</v>
      </c>
      <c r="I29" s="58">
        <f>SUM('Model Quarterly'!X31:AA31)</f>
        <v>0</v>
      </c>
    </row>
    <row r="30" spans="1:23" x14ac:dyDescent="0.25">
      <c r="A30" s="25" t="s">
        <v>303</v>
      </c>
      <c r="B30" s="25" t="s">
        <v>309</v>
      </c>
      <c r="C30" s="29"/>
      <c r="D30" s="129">
        <f>SUM(D27:D29)</f>
        <v>0</v>
      </c>
      <c r="E30" s="129">
        <f t="shared" ref="E30:I30" si="4">SUM(E27:E29)</f>
        <v>0</v>
      </c>
      <c r="F30" s="129">
        <f t="shared" si="4"/>
        <v>0</v>
      </c>
      <c r="G30" s="129">
        <f t="shared" si="4"/>
        <v>0</v>
      </c>
      <c r="H30" s="129">
        <f t="shared" si="4"/>
        <v>0</v>
      </c>
      <c r="I30" s="129">
        <f t="shared" si="4"/>
        <v>0</v>
      </c>
    </row>
    <row r="31" spans="1:23" ht="26.25" x14ac:dyDescent="0.25">
      <c r="A31" s="25" t="s">
        <v>304</v>
      </c>
      <c r="B31" s="35" t="s">
        <v>108</v>
      </c>
      <c r="C31" s="29"/>
      <c r="D31" s="9">
        <f>SUM('Model Quarterly'!D32:G32)</f>
        <v>0</v>
      </c>
      <c r="E31" s="58">
        <f>SUM('Model Quarterly'!H32:K32)</f>
        <v>0</v>
      </c>
      <c r="F31" s="58">
        <f>SUM('Model Quarterly'!L32:O32)</f>
        <v>0</v>
      </c>
      <c r="G31" s="58">
        <f>SUM('Model Quarterly'!P32:S32)</f>
        <v>0</v>
      </c>
      <c r="H31" s="58">
        <f>SUM('Model Quarterly'!T32:W32)</f>
        <v>0</v>
      </c>
      <c r="I31" s="58">
        <f>SUM('Model Quarterly'!X32:AA32)</f>
        <v>0</v>
      </c>
    </row>
    <row r="32" spans="1:23" x14ac:dyDescent="0.25">
      <c r="A32" s="25"/>
      <c r="B32" s="35"/>
      <c r="C32" s="29"/>
      <c r="D32" s="9"/>
      <c r="E32" s="58"/>
      <c r="F32" s="58"/>
      <c r="G32" s="58"/>
      <c r="H32" s="58"/>
      <c r="I32" s="58"/>
    </row>
    <row r="33" spans="1:14" x14ac:dyDescent="0.25">
      <c r="A33" s="25" t="s">
        <v>310</v>
      </c>
      <c r="B33" s="35" t="s">
        <v>311</v>
      </c>
      <c r="C33" s="29"/>
      <c r="D33" s="9">
        <f>SUM('Model Quarterly'!D55:G55)</f>
        <v>0</v>
      </c>
      <c r="E33" s="58">
        <f>SUM('Model Quarterly'!H55:K55)</f>
        <v>0</v>
      </c>
      <c r="F33" s="58">
        <f>SUM('Model Quarterly'!L55:O55)</f>
        <v>0</v>
      </c>
      <c r="G33" s="58">
        <f>SUM('Model Quarterly'!P55:S55)</f>
        <v>0</v>
      </c>
      <c r="H33" s="58">
        <f>SUM('Model Quarterly'!T55:W55)</f>
        <v>0</v>
      </c>
      <c r="I33" s="58">
        <f>SUM('Model Quarterly'!X55:AA55)</f>
        <v>0</v>
      </c>
    </row>
    <row r="34" spans="1:14" x14ac:dyDescent="0.25">
      <c r="A34" s="25" t="s">
        <v>305</v>
      </c>
      <c r="B34" s="35" t="s">
        <v>312</v>
      </c>
      <c r="C34" s="29"/>
      <c r="D34" s="9">
        <f>SUM('Model Quarterly'!D56:G56)</f>
        <v>0</v>
      </c>
      <c r="E34" s="58">
        <f>SUM('Model Quarterly'!H56:K56)</f>
        <v>0</v>
      </c>
      <c r="F34" s="58">
        <f>SUM('Model Quarterly'!L56:O56)</f>
        <v>0</v>
      </c>
      <c r="G34" s="58">
        <f>SUM('Model Quarterly'!P56:S56)</f>
        <v>0</v>
      </c>
      <c r="H34" s="58">
        <f>SUM('Model Quarterly'!T56:W56)</f>
        <v>0</v>
      </c>
      <c r="I34" s="58">
        <f>SUM('Model Quarterly'!X56:AA56)</f>
        <v>0</v>
      </c>
    </row>
    <row r="35" spans="1:14" x14ac:dyDescent="0.25">
      <c r="A35" s="25" t="s">
        <v>306</v>
      </c>
      <c r="B35" s="35" t="s">
        <v>313</v>
      </c>
      <c r="C35" s="29"/>
      <c r="D35" s="9">
        <f>SUM('Model Quarterly'!D57:G57)</f>
        <v>0</v>
      </c>
      <c r="E35" s="58">
        <f>SUM('Model Quarterly'!H57:K57)</f>
        <v>0</v>
      </c>
      <c r="F35" s="58">
        <f>SUM('Model Quarterly'!L57:O57)</f>
        <v>0</v>
      </c>
      <c r="G35" s="58">
        <f>SUM('Model Quarterly'!P57:S57)</f>
        <v>0</v>
      </c>
      <c r="H35" s="58">
        <f>SUM('Model Quarterly'!T57:W57)</f>
        <v>0</v>
      </c>
      <c r="I35" s="58">
        <f>SUM('Model Quarterly'!X57:AA57)</f>
        <v>0</v>
      </c>
    </row>
    <row r="36" spans="1:14" x14ac:dyDescent="0.25">
      <c r="A36" s="25" t="s">
        <v>307</v>
      </c>
      <c r="B36" s="35" t="s">
        <v>314</v>
      </c>
      <c r="C36" s="29"/>
      <c r="D36" s="9">
        <f>SUM('Model Quarterly'!D58:G58)</f>
        <v>0</v>
      </c>
      <c r="E36" s="58">
        <f>SUM('Model Quarterly'!H58:K58)</f>
        <v>0</v>
      </c>
      <c r="F36" s="58">
        <f>SUM('Model Quarterly'!L58:O58)</f>
        <v>0</v>
      </c>
      <c r="G36" s="58">
        <f>SUM('Model Quarterly'!P58:S58)</f>
        <v>0</v>
      </c>
      <c r="H36" s="58">
        <f>SUM('Model Quarterly'!T58:W58)</f>
        <v>0</v>
      </c>
      <c r="I36" s="58">
        <f>SUM('Model Quarterly'!X58:AA58)</f>
        <v>0</v>
      </c>
    </row>
    <row r="37" spans="1:14" x14ac:dyDescent="0.25">
      <c r="A37" s="25" t="s">
        <v>308</v>
      </c>
      <c r="B37" s="35" t="s">
        <v>315</v>
      </c>
      <c r="C37" s="29"/>
      <c r="D37" s="9">
        <f>SUM('Model Quarterly'!D59:G59)</f>
        <v>0</v>
      </c>
      <c r="E37" s="58">
        <f>SUM('Model Quarterly'!H59:K59)</f>
        <v>0</v>
      </c>
      <c r="F37" s="58">
        <f>SUM('Model Quarterly'!L59:O59)</f>
        <v>0</v>
      </c>
      <c r="G37" s="58">
        <f>SUM('Model Quarterly'!P59:S59)</f>
        <v>0</v>
      </c>
      <c r="H37" s="58">
        <f>SUM('Model Quarterly'!T59:W59)</f>
        <v>0</v>
      </c>
      <c r="I37" s="58">
        <f>SUM('Model Quarterly'!X59:AA59)</f>
        <v>0</v>
      </c>
    </row>
    <row r="38" spans="1:14" x14ac:dyDescent="0.25">
      <c r="A38" s="25"/>
      <c r="B38" s="35"/>
      <c r="C38" s="29"/>
      <c r="D38" s="9"/>
      <c r="E38" s="58"/>
      <c r="F38" s="58"/>
      <c r="G38" s="58"/>
      <c r="H38" s="58"/>
      <c r="I38" s="58"/>
    </row>
    <row r="39" spans="1:14" x14ac:dyDescent="0.25">
      <c r="A39" s="25" t="s">
        <v>237</v>
      </c>
      <c r="B39" s="35" t="s">
        <v>109</v>
      </c>
      <c r="C39" s="29"/>
      <c r="D39" s="9">
        <f>'Model Quarterly'!G36</f>
        <v>0</v>
      </c>
      <c r="E39" s="58">
        <f>'Model Quarterly'!K36</f>
        <v>0</v>
      </c>
      <c r="F39" s="58">
        <f>'Model Quarterly'!O36</f>
        <v>0</v>
      </c>
      <c r="G39" s="58">
        <f>'Model Quarterly'!S36</f>
        <v>0</v>
      </c>
      <c r="H39" s="58">
        <f>'Model Quarterly'!W36</f>
        <v>0</v>
      </c>
      <c r="I39" s="58">
        <f>'Model Quarterly'!AA36</f>
        <v>0</v>
      </c>
    </row>
    <row r="40" spans="1:14" ht="26.25" x14ac:dyDescent="0.25">
      <c r="A40" s="25" t="s">
        <v>242</v>
      </c>
      <c r="B40" s="35" t="s">
        <v>110</v>
      </c>
      <c r="C40" s="29"/>
      <c r="D40" s="9">
        <f>'Model Quarterly'!G37</f>
        <v>0</v>
      </c>
      <c r="E40" s="58">
        <f>'Model Quarterly'!K37</f>
        <v>0</v>
      </c>
      <c r="F40" s="58">
        <f>'Model Quarterly'!O37</f>
        <v>0</v>
      </c>
      <c r="G40" s="58">
        <f>'Model Quarterly'!S37</f>
        <v>0</v>
      </c>
      <c r="H40" s="58">
        <f>'Model Quarterly'!W37</f>
        <v>0</v>
      </c>
      <c r="I40" s="58">
        <f>'Model Quarterly'!AA37</f>
        <v>0</v>
      </c>
    </row>
    <row r="41" spans="1:14" ht="26.25" x14ac:dyDescent="0.25">
      <c r="A41" s="25" t="s">
        <v>243</v>
      </c>
      <c r="B41" s="35" t="s">
        <v>110</v>
      </c>
      <c r="C41" s="29"/>
      <c r="D41" s="9">
        <f>'Model Quarterly'!G38</f>
        <v>0</v>
      </c>
      <c r="E41" s="58">
        <f>'Model Quarterly'!K38</f>
        <v>0</v>
      </c>
      <c r="F41" s="58">
        <f>'Model Quarterly'!O38</f>
        <v>0</v>
      </c>
      <c r="G41" s="58">
        <f>'Model Quarterly'!S38</f>
        <v>0</v>
      </c>
      <c r="H41" s="58">
        <f>'Model Quarterly'!W38</f>
        <v>0</v>
      </c>
      <c r="I41" s="58">
        <f>'Model Quarterly'!AA38</f>
        <v>0</v>
      </c>
    </row>
    <row r="42" spans="1:14" ht="26.25" x14ac:dyDescent="0.25">
      <c r="A42" s="7" t="s">
        <v>244</v>
      </c>
      <c r="B42" s="35" t="s">
        <v>110</v>
      </c>
      <c r="C42" s="29"/>
      <c r="D42" s="9">
        <f>'Model Quarterly'!G39</f>
        <v>0</v>
      </c>
      <c r="E42" s="58">
        <f>'Model Quarterly'!K39</f>
        <v>0</v>
      </c>
      <c r="F42" s="58">
        <f>'Model Quarterly'!O39</f>
        <v>0</v>
      </c>
      <c r="G42" s="58">
        <f>'Model Quarterly'!S39</f>
        <v>0</v>
      </c>
      <c r="H42" s="58">
        <f>'Model Quarterly'!W39</f>
        <v>0</v>
      </c>
      <c r="I42" s="58">
        <f>'Model Quarterly'!AA39</f>
        <v>0</v>
      </c>
    </row>
    <row r="43" spans="1:14" x14ac:dyDescent="0.25">
      <c r="A43" s="7" t="s">
        <v>238</v>
      </c>
      <c r="B43" s="35" t="s">
        <v>232</v>
      </c>
      <c r="C43" s="29"/>
      <c r="D43" s="9">
        <f>'Model Quarterly'!G40</f>
        <v>0</v>
      </c>
      <c r="E43" s="58">
        <f>'Model Quarterly'!K40</f>
        <v>0</v>
      </c>
      <c r="F43" s="58">
        <f>'Model Quarterly'!O40</f>
        <v>0</v>
      </c>
      <c r="G43" s="58">
        <f>'Model Quarterly'!S40</f>
        <v>0</v>
      </c>
      <c r="H43" s="58">
        <f>'Model Quarterly'!W40</f>
        <v>0</v>
      </c>
      <c r="I43" s="58">
        <f>'Model Quarterly'!AA40</f>
        <v>0</v>
      </c>
    </row>
    <row r="44" spans="1:14" ht="26.25" x14ac:dyDescent="0.25">
      <c r="A44" s="7" t="s">
        <v>50</v>
      </c>
      <c r="B44" s="35" t="s">
        <v>110</v>
      </c>
      <c r="C44" s="29"/>
      <c r="D44" s="9">
        <f>'Model Quarterly'!G41</f>
        <v>0</v>
      </c>
      <c r="E44" s="58">
        <f>'Model Quarterly'!K41</f>
        <v>0</v>
      </c>
      <c r="F44" s="58">
        <f>'Model Quarterly'!O41</f>
        <v>0</v>
      </c>
      <c r="G44" s="58">
        <f>'Model Quarterly'!S41</f>
        <v>0</v>
      </c>
      <c r="H44" s="58">
        <f>'Model Quarterly'!W41</f>
        <v>0</v>
      </c>
      <c r="I44" s="58">
        <f>'Model Quarterly'!AA41</f>
        <v>0</v>
      </c>
      <c r="J44" s="65"/>
    </row>
    <row r="45" spans="1:14" x14ac:dyDescent="0.25">
      <c r="A45" s="7" t="s">
        <v>114</v>
      </c>
      <c r="B45" s="35" t="s">
        <v>116</v>
      </c>
      <c r="C45" s="29"/>
      <c r="D45" s="56">
        <f t="shared" ref="D45:H45" si="5">IF(D23=0,0,D39/D23)</f>
        <v>0</v>
      </c>
      <c r="E45" s="56">
        <f t="shared" si="5"/>
        <v>0</v>
      </c>
      <c r="F45" s="56">
        <f t="shared" si="5"/>
        <v>0</v>
      </c>
      <c r="G45" s="56">
        <f t="shared" si="5"/>
        <v>0</v>
      </c>
      <c r="H45" s="56">
        <f t="shared" si="5"/>
        <v>0</v>
      </c>
      <c r="I45" s="56">
        <f>IF(I23=0,0,I39/I23)</f>
        <v>0</v>
      </c>
      <c r="J45" s="64"/>
      <c r="K45" s="64"/>
      <c r="L45" s="64"/>
      <c r="M45" s="64"/>
      <c r="N45" s="64"/>
    </row>
    <row r="46" spans="1:14" x14ac:dyDescent="0.25">
      <c r="A46" s="7" t="s">
        <v>213</v>
      </c>
      <c r="B46" s="35" t="s">
        <v>217</v>
      </c>
      <c r="C46" s="29"/>
      <c r="D46" s="56">
        <f t="shared" ref="D46:H47" si="6">IF(D$23=0,0,D40/D$23)</f>
        <v>0</v>
      </c>
      <c r="E46" s="56">
        <f t="shared" si="6"/>
        <v>0</v>
      </c>
      <c r="F46" s="56">
        <f t="shared" si="6"/>
        <v>0</v>
      </c>
      <c r="G46" s="56">
        <f t="shared" si="6"/>
        <v>0</v>
      </c>
      <c r="H46" s="56">
        <f t="shared" si="6"/>
        <v>0</v>
      </c>
      <c r="I46" s="56">
        <f>IF(I$23=0,0,I40/I$23)</f>
        <v>0</v>
      </c>
    </row>
    <row r="47" spans="1:14" x14ac:dyDescent="0.25">
      <c r="A47" s="7" t="s">
        <v>214</v>
      </c>
      <c r="B47" s="35" t="s">
        <v>218</v>
      </c>
      <c r="C47" s="29"/>
      <c r="D47" s="56">
        <f t="shared" si="6"/>
        <v>0</v>
      </c>
      <c r="E47" s="56">
        <f t="shared" si="6"/>
        <v>0</v>
      </c>
      <c r="F47" s="56">
        <f t="shared" si="6"/>
        <v>0</v>
      </c>
      <c r="G47" s="56">
        <f t="shared" si="6"/>
        <v>0</v>
      </c>
      <c r="H47" s="56">
        <f t="shared" si="6"/>
        <v>0</v>
      </c>
      <c r="I47" s="56">
        <f>IF(I$23=0,0,I41/I$23)</f>
        <v>0</v>
      </c>
    </row>
    <row r="48" spans="1:14" x14ac:dyDescent="0.25">
      <c r="A48" s="7" t="s">
        <v>215</v>
      </c>
      <c r="B48" s="35" t="s">
        <v>216</v>
      </c>
      <c r="C48" s="29"/>
      <c r="D48" s="56">
        <f>IF(D$23=0,0,D42/D$23)</f>
        <v>0</v>
      </c>
      <c r="E48" s="56">
        <f t="shared" ref="E48:H48" si="7">IF(E$23=0,0,E42/E$23)</f>
        <v>0</v>
      </c>
      <c r="F48" s="56">
        <f t="shared" si="7"/>
        <v>0</v>
      </c>
      <c r="G48" s="56">
        <f t="shared" si="7"/>
        <v>0</v>
      </c>
      <c r="H48" s="56">
        <f t="shared" si="7"/>
        <v>0</v>
      </c>
      <c r="I48" s="56">
        <f>IF(I$23=0,0,I42/I$23)</f>
        <v>0</v>
      </c>
    </row>
    <row r="49" spans="1:9" x14ac:dyDescent="0.25">
      <c r="A49" s="7" t="s">
        <v>115</v>
      </c>
      <c r="B49" s="35" t="s">
        <v>117</v>
      </c>
      <c r="C49" s="29"/>
      <c r="D49" s="56">
        <f t="shared" ref="D49:I49" si="8">IF(D23=0,0,D44/D23)</f>
        <v>0</v>
      </c>
      <c r="E49" s="56">
        <f t="shared" si="8"/>
        <v>0</v>
      </c>
      <c r="F49" s="56">
        <f t="shared" si="8"/>
        <v>0</v>
      </c>
      <c r="G49" s="56">
        <f t="shared" si="8"/>
        <v>0</v>
      </c>
      <c r="H49" s="56">
        <f t="shared" si="8"/>
        <v>0</v>
      </c>
      <c r="I49" s="56">
        <f t="shared" si="8"/>
        <v>0</v>
      </c>
    </row>
    <row r="50" spans="1:9" x14ac:dyDescent="0.25">
      <c r="A50" s="7"/>
      <c r="B50" s="35"/>
      <c r="C50" s="29"/>
      <c r="D50" s="8"/>
      <c r="E50" s="8"/>
      <c r="F50" s="130"/>
      <c r="G50" s="130"/>
      <c r="H50" s="130"/>
      <c r="I50" s="130"/>
    </row>
    <row r="51" spans="1:9" x14ac:dyDescent="0.25">
      <c r="E51" s="64"/>
      <c r="F51" s="64"/>
      <c r="G51" s="64"/>
      <c r="H51" s="64"/>
      <c r="I51" s="64"/>
    </row>
    <row r="52" spans="1:9" x14ac:dyDescent="0.25">
      <c r="A52" s="10" t="s">
        <v>7</v>
      </c>
      <c r="B52" s="42"/>
      <c r="C52" s="10"/>
      <c r="D52" s="11"/>
      <c r="E52" s="11"/>
      <c r="F52" s="11"/>
      <c r="G52" s="11"/>
      <c r="H52" s="11"/>
      <c r="I52" s="11"/>
    </row>
    <row r="53" spans="1:9" x14ac:dyDescent="0.25">
      <c r="A53" s="12" t="s">
        <v>49</v>
      </c>
      <c r="B53" s="43"/>
      <c r="C53" s="12"/>
      <c r="D53" s="13">
        <f>SUM('Model Quarterly'!D74:G74)</f>
        <v>0</v>
      </c>
      <c r="E53" s="13">
        <f>SUM('Model Quarterly'!H74:K74)</f>
        <v>0</v>
      </c>
      <c r="F53" s="13">
        <f>SUM('Model Quarterly'!L74:O74)</f>
        <v>0</v>
      </c>
      <c r="G53" s="13">
        <f>SUM('Model Quarterly'!P74:S74)</f>
        <v>0</v>
      </c>
      <c r="H53" s="13">
        <f>SUM('Model Quarterly'!T74:W74)</f>
        <v>0</v>
      </c>
      <c r="I53" s="13">
        <f>SUM('Model Quarterly'!X74:AA74)</f>
        <v>0</v>
      </c>
    </row>
    <row r="54" spans="1:9" x14ac:dyDescent="0.25">
      <c r="A54" s="12" t="s">
        <v>44</v>
      </c>
      <c r="B54" s="43"/>
      <c r="C54" s="12"/>
      <c r="D54" s="13">
        <f>'Model Quarterly'!G75</f>
        <v>0</v>
      </c>
      <c r="E54" s="13">
        <f>'Model Quarterly'!K75</f>
        <v>0</v>
      </c>
      <c r="F54" s="13">
        <f>'Model Quarterly'!O75</f>
        <v>0</v>
      </c>
      <c r="G54" s="13">
        <f>'Model Quarterly'!S75</f>
        <v>0</v>
      </c>
      <c r="H54" s="13">
        <f>'Model Quarterly'!W75</f>
        <v>0</v>
      </c>
      <c r="I54" s="13">
        <f>'Model Quarterly'!AA75</f>
        <v>0</v>
      </c>
    </row>
    <row r="55" spans="1:9" x14ac:dyDescent="0.25">
      <c r="A55" s="12" t="s">
        <v>43</v>
      </c>
      <c r="B55" s="43"/>
      <c r="C55" s="12"/>
      <c r="D55" s="13">
        <f>SUM($D53:D53)</f>
        <v>0</v>
      </c>
      <c r="E55" s="13">
        <f>SUM($D53:E53)</f>
        <v>0</v>
      </c>
      <c r="F55" s="13">
        <f>SUM($D53:F53)</f>
        <v>0</v>
      </c>
      <c r="G55" s="13">
        <f>SUM($D53:G53)</f>
        <v>0</v>
      </c>
      <c r="H55" s="13">
        <f>SUM($D53:H53)</f>
        <v>0</v>
      </c>
      <c r="I55" s="13">
        <f>SUM($D53:I53)</f>
        <v>0</v>
      </c>
    </row>
    <row r="57" spans="1:9" x14ac:dyDescent="0.25">
      <c r="D57" s="15"/>
      <c r="E57" s="15"/>
      <c r="F57" s="15"/>
      <c r="G57" s="15"/>
      <c r="H57" s="15"/>
      <c r="I57" s="15"/>
    </row>
    <row r="58" spans="1:9" x14ac:dyDescent="0.25">
      <c r="D58" s="17"/>
      <c r="E58" s="17"/>
      <c r="F58" s="17"/>
      <c r="G58" s="17"/>
      <c r="H58" s="17"/>
      <c r="I58" s="17"/>
    </row>
    <row r="59" spans="1:9" x14ac:dyDescent="0.25">
      <c r="D59" s="16"/>
      <c r="E59" s="17"/>
      <c r="F59" s="17"/>
      <c r="G59" s="17"/>
      <c r="H59" s="17"/>
      <c r="I59" s="17"/>
    </row>
    <row r="60" spans="1:9" x14ac:dyDescent="0.25">
      <c r="E60" s="17"/>
      <c r="F60" s="17"/>
      <c r="G60" s="17"/>
      <c r="H60" s="17"/>
      <c r="I60" s="17"/>
    </row>
    <row r="61" spans="1:9" x14ac:dyDescent="0.25">
      <c r="E61" s="17"/>
      <c r="F61" s="17"/>
      <c r="G61" s="17"/>
      <c r="H61" s="17"/>
      <c r="I61" s="17"/>
    </row>
    <row r="62" spans="1:9" x14ac:dyDescent="0.25">
      <c r="E62" s="17"/>
      <c r="F62" s="17"/>
      <c r="G62" s="17"/>
      <c r="H62" s="17"/>
      <c r="I62" s="17"/>
    </row>
    <row r="63" spans="1:9" x14ac:dyDescent="0.25">
      <c r="E63" s="65"/>
      <c r="F63" s="65"/>
      <c r="G63" s="65"/>
      <c r="H63" s="65"/>
      <c r="I63" s="65"/>
    </row>
  </sheetData>
  <phoneticPr fontId="6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0CC84-2C73-4E9A-9D27-7F30E585FDDE}">
  <dimension ref="A1:AA83"/>
  <sheetViews>
    <sheetView topLeftCell="A10" zoomScale="87" workbookViewId="0">
      <pane xSplit="1" topLeftCell="B1" activePane="topRight" state="frozen"/>
      <selection activeCell="A3" sqref="A3"/>
      <selection pane="topRight" activeCell="G21" sqref="G21"/>
    </sheetView>
  </sheetViews>
  <sheetFormatPr defaultRowHeight="15" x14ac:dyDescent="0.25"/>
  <cols>
    <col min="1" max="1" width="77.42578125" customWidth="1"/>
    <col min="2" max="2" width="42.140625" style="36" bestFit="1" customWidth="1"/>
    <col min="4" max="4" width="11.7109375" bestFit="1" customWidth="1"/>
    <col min="5" max="8" width="11.7109375" customWidth="1"/>
    <col min="9" max="10" width="11.85546875" bestFit="1" customWidth="1"/>
    <col min="11" max="12" width="12.85546875" bestFit="1" customWidth="1"/>
  </cols>
  <sheetData>
    <row r="1" spans="1:27" x14ac:dyDescent="0.25">
      <c r="A1" t="s">
        <v>4</v>
      </c>
      <c r="D1">
        <v>2025</v>
      </c>
      <c r="E1">
        <v>2025</v>
      </c>
      <c r="F1">
        <v>2025</v>
      </c>
      <c r="G1">
        <v>2025</v>
      </c>
      <c r="H1">
        <v>2026</v>
      </c>
      <c r="I1">
        <v>2026</v>
      </c>
      <c r="J1">
        <v>2026</v>
      </c>
      <c r="K1">
        <v>2026</v>
      </c>
      <c r="L1">
        <v>2027</v>
      </c>
      <c r="M1">
        <v>2027</v>
      </c>
      <c r="N1">
        <v>2027</v>
      </c>
      <c r="O1">
        <v>2027</v>
      </c>
      <c r="P1">
        <v>2028</v>
      </c>
      <c r="Q1">
        <v>2028</v>
      </c>
      <c r="R1">
        <v>2028</v>
      </c>
      <c r="S1">
        <v>2028</v>
      </c>
      <c r="T1">
        <v>2029</v>
      </c>
      <c r="U1">
        <v>2029</v>
      </c>
      <c r="V1">
        <v>2029</v>
      </c>
      <c r="W1">
        <v>2029</v>
      </c>
      <c r="X1">
        <v>2030</v>
      </c>
      <c r="Y1">
        <v>2030</v>
      </c>
      <c r="Z1">
        <v>2030</v>
      </c>
      <c r="AA1">
        <v>2030</v>
      </c>
    </row>
    <row r="2" spans="1:27" x14ac:dyDescent="0.25">
      <c r="D2">
        <v>2026</v>
      </c>
      <c r="E2">
        <v>2026</v>
      </c>
      <c r="F2">
        <v>2026</v>
      </c>
      <c r="G2">
        <v>2026</v>
      </c>
      <c r="H2">
        <v>2027</v>
      </c>
      <c r="I2">
        <v>2027</v>
      </c>
      <c r="J2">
        <v>2027</v>
      </c>
      <c r="K2">
        <v>2027</v>
      </c>
      <c r="L2">
        <v>2028</v>
      </c>
      <c r="M2">
        <v>2028</v>
      </c>
      <c r="N2">
        <v>2028</v>
      </c>
      <c r="O2">
        <v>2028</v>
      </c>
      <c r="P2">
        <v>2029</v>
      </c>
      <c r="Q2">
        <v>2029</v>
      </c>
      <c r="R2">
        <v>2029</v>
      </c>
      <c r="S2">
        <v>2029</v>
      </c>
      <c r="T2">
        <v>2030</v>
      </c>
      <c r="U2">
        <v>2030</v>
      </c>
      <c r="V2">
        <v>2030</v>
      </c>
      <c r="W2">
        <v>2030</v>
      </c>
      <c r="X2">
        <v>2031</v>
      </c>
      <c r="Y2">
        <v>2031</v>
      </c>
      <c r="Z2">
        <v>2031</v>
      </c>
      <c r="AA2">
        <v>2031</v>
      </c>
    </row>
    <row r="3" spans="1:27" x14ac:dyDescent="0.25">
      <c r="A3" t="s">
        <v>246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64</v>
      </c>
      <c r="L3" t="s">
        <v>65</v>
      </c>
      <c r="M3" t="s">
        <v>66</v>
      </c>
      <c r="N3" t="s">
        <v>67</v>
      </c>
      <c r="O3" t="s">
        <v>68</v>
      </c>
      <c r="P3" t="s">
        <v>69</v>
      </c>
      <c r="Q3" t="s">
        <v>70</v>
      </c>
      <c r="R3" t="s">
        <v>71</v>
      </c>
      <c r="S3" t="s">
        <v>72</v>
      </c>
      <c r="T3" t="s">
        <v>73</v>
      </c>
      <c r="U3" t="s">
        <v>74</v>
      </c>
      <c r="V3" t="s">
        <v>75</v>
      </c>
      <c r="W3" t="s">
        <v>247</v>
      </c>
      <c r="X3" t="s">
        <v>275</v>
      </c>
      <c r="Y3" t="s">
        <v>74</v>
      </c>
      <c r="Z3" t="s">
        <v>75</v>
      </c>
      <c r="AA3" t="s">
        <v>247</v>
      </c>
    </row>
    <row r="4" spans="1:27" x14ac:dyDescent="0.25">
      <c r="A4" s="1" t="s">
        <v>0</v>
      </c>
      <c r="B4" s="37" t="s">
        <v>27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5">
      <c r="A5" s="3" t="s">
        <v>1</v>
      </c>
      <c r="B5" s="38"/>
      <c r="C5" s="4" t="s">
        <v>5</v>
      </c>
      <c r="D5" s="4">
        <f>'For user (EN)'!C4/4</f>
        <v>0</v>
      </c>
      <c r="E5" s="4">
        <f>'For user (EN)'!C4/4</f>
        <v>0</v>
      </c>
      <c r="F5" s="4">
        <f>'For user (EN)'!C4/4</f>
        <v>0</v>
      </c>
      <c r="G5" s="4">
        <f>'For user (EN)'!C4/4</f>
        <v>0</v>
      </c>
      <c r="H5" s="57">
        <f>'For user (EN)'!D4/4</f>
        <v>0</v>
      </c>
      <c r="I5" s="57">
        <f>'For user (EN)'!$D4/4</f>
        <v>0</v>
      </c>
      <c r="J5" s="57">
        <f>'For user (EN)'!$D4/4</f>
        <v>0</v>
      </c>
      <c r="K5" s="57">
        <f>'For user (EN)'!$D4/4</f>
        <v>0</v>
      </c>
      <c r="L5" s="4">
        <f>'For user (EN)'!$E4/4</f>
        <v>0</v>
      </c>
      <c r="M5" s="4">
        <f>'For user (EN)'!$E4/4</f>
        <v>0</v>
      </c>
      <c r="N5" s="4">
        <f>'For user (EN)'!$E4/4</f>
        <v>0</v>
      </c>
      <c r="O5" s="4">
        <f>'For user (EN)'!$E4/4</f>
        <v>0</v>
      </c>
      <c r="P5" s="4">
        <f>'For user (EN)'!$F4/4</f>
        <v>0</v>
      </c>
      <c r="Q5" s="4">
        <f>'For user (EN)'!$F4/4</f>
        <v>0</v>
      </c>
      <c r="R5" s="4">
        <f>'For user (EN)'!$F4/4</f>
        <v>0</v>
      </c>
      <c r="S5" s="4">
        <f>'For user (EN)'!$F4/4</f>
        <v>0</v>
      </c>
      <c r="T5" s="4">
        <f>'For user (EN)'!$G4/4</f>
        <v>0</v>
      </c>
      <c r="U5" s="4">
        <f>'For user (EN)'!$G4/4</f>
        <v>0</v>
      </c>
      <c r="V5" s="4">
        <f>'For user (EN)'!$G4/4</f>
        <v>0</v>
      </c>
      <c r="W5" s="4">
        <f>'For user (EN)'!$G4/4</f>
        <v>0</v>
      </c>
      <c r="X5" s="4">
        <f>'For user (EN)'!$G4/4</f>
        <v>0</v>
      </c>
      <c r="Y5" s="4">
        <f>'For user (EN)'!$G4/4</f>
        <v>0</v>
      </c>
      <c r="Z5" s="4">
        <f>'For user (EN)'!$G4/4</f>
        <v>0</v>
      </c>
      <c r="AA5" s="4">
        <f>'For user (EN)'!$G4/4</f>
        <v>0</v>
      </c>
    </row>
    <row r="6" spans="1:27" x14ac:dyDescent="0.25">
      <c r="A6" s="3" t="s">
        <v>2</v>
      </c>
      <c r="B6" s="38"/>
      <c r="C6" s="4" t="s">
        <v>5</v>
      </c>
      <c r="D6" s="57">
        <f>'For user (EN)'!C5/4</f>
        <v>0</v>
      </c>
      <c r="E6" s="57">
        <f>'For user (EN)'!C5/4</f>
        <v>0</v>
      </c>
      <c r="F6" s="57">
        <f>'For user (EN)'!C5/4</f>
        <v>0</v>
      </c>
      <c r="G6" s="57">
        <f>'For user (EN)'!C5/4</f>
        <v>0</v>
      </c>
      <c r="H6" s="57">
        <f>'For user (EN)'!D5/4</f>
        <v>0</v>
      </c>
      <c r="I6" s="57">
        <f>'For user (EN)'!$D5/4</f>
        <v>0</v>
      </c>
      <c r="J6" s="57">
        <f>'For user (EN)'!$D5/4</f>
        <v>0</v>
      </c>
      <c r="K6" s="57">
        <f>'For user (EN)'!$D5/4</f>
        <v>0</v>
      </c>
      <c r="L6" s="4">
        <f>'For user (EN)'!$E5/4</f>
        <v>0</v>
      </c>
      <c r="M6" s="4">
        <f>'For user (EN)'!$E5/4</f>
        <v>0</v>
      </c>
      <c r="N6" s="4">
        <f>'For user (EN)'!$E5/4</f>
        <v>0</v>
      </c>
      <c r="O6" s="4">
        <f>'For user (EN)'!$E5/4</f>
        <v>0</v>
      </c>
      <c r="P6" s="4">
        <f>'For user (EN)'!$F5/4</f>
        <v>0</v>
      </c>
      <c r="Q6" s="4">
        <f>'For user (EN)'!$F5/4</f>
        <v>0</v>
      </c>
      <c r="R6" s="4">
        <f>'For user (EN)'!$F5/4</f>
        <v>0</v>
      </c>
      <c r="S6" s="4">
        <f>'For user (EN)'!$F5/4</f>
        <v>0</v>
      </c>
      <c r="T6" s="4">
        <f>'For user (EN)'!$G5/4</f>
        <v>0</v>
      </c>
      <c r="U6" s="4">
        <f>'For user (EN)'!$G5/4</f>
        <v>0</v>
      </c>
      <c r="V6" s="4">
        <f>'For user (EN)'!$G5/4</f>
        <v>0</v>
      </c>
      <c r="W6" s="4">
        <f>'For user (EN)'!$G5/4</f>
        <v>0</v>
      </c>
      <c r="X6" s="4">
        <f>'For user (EN)'!$H5/4</f>
        <v>0</v>
      </c>
      <c r="Y6" s="4">
        <f>'For user (EN)'!$H5/4</f>
        <v>0</v>
      </c>
      <c r="Z6" s="4">
        <f>'For user (EN)'!$H5/4</f>
        <v>0</v>
      </c>
      <c r="AA6" s="4">
        <f>'For user (EN)'!$H5/4</f>
        <v>0</v>
      </c>
    </row>
    <row r="7" spans="1:27" x14ac:dyDescent="0.25">
      <c r="A7" s="3" t="s">
        <v>3</v>
      </c>
      <c r="B7" s="38"/>
      <c r="C7" s="4" t="s">
        <v>5</v>
      </c>
      <c r="D7" s="57">
        <f>'For user (EN)'!C6/4</f>
        <v>0</v>
      </c>
      <c r="E7" s="57">
        <f>'For user (EN)'!C6/4</f>
        <v>0</v>
      </c>
      <c r="F7" s="57">
        <f>'For user (EN)'!C6/4</f>
        <v>0</v>
      </c>
      <c r="G7" s="57">
        <f>'For user (EN)'!C6/4</f>
        <v>0</v>
      </c>
      <c r="H7" s="57">
        <f>'For user (EN)'!D6/4</f>
        <v>0</v>
      </c>
      <c r="I7" s="57">
        <f>'For user (EN)'!$D6/4</f>
        <v>0</v>
      </c>
      <c r="J7" s="57">
        <f>'For user (EN)'!$D6/4</f>
        <v>0</v>
      </c>
      <c r="K7" s="57">
        <f>'For user (EN)'!$D6/4</f>
        <v>0</v>
      </c>
      <c r="L7" s="4">
        <f>'For user (EN)'!$E6/4</f>
        <v>0</v>
      </c>
      <c r="M7" s="4">
        <f>'For user (EN)'!$E6/4</f>
        <v>0</v>
      </c>
      <c r="N7" s="4">
        <f>'For user (EN)'!$E6/4</f>
        <v>0</v>
      </c>
      <c r="O7" s="4">
        <f>'For user (EN)'!$E6/4</f>
        <v>0</v>
      </c>
      <c r="P7" s="4">
        <f>'For user (EN)'!$F6/4</f>
        <v>0</v>
      </c>
      <c r="Q7" s="4">
        <f>'For user (EN)'!$F6/4</f>
        <v>0</v>
      </c>
      <c r="R7" s="4">
        <f>'For user (EN)'!$F6/4</f>
        <v>0</v>
      </c>
      <c r="S7" s="4">
        <f>'For user (EN)'!$F6/4</f>
        <v>0</v>
      </c>
      <c r="T7" s="4">
        <f>'For user (EN)'!$G6/4</f>
        <v>0</v>
      </c>
      <c r="U7" s="4">
        <f>'For user (EN)'!$G6/4</f>
        <v>0</v>
      </c>
      <c r="V7" s="4">
        <f>'For user (EN)'!$G6/4</f>
        <v>0</v>
      </c>
      <c r="W7" s="4">
        <f>'For user (EN)'!$G6/4</f>
        <v>0</v>
      </c>
      <c r="X7" s="4">
        <f>'For user (EN)'!$H6/4</f>
        <v>0</v>
      </c>
      <c r="Y7" s="4">
        <f>'For user (EN)'!$H6/4</f>
        <v>0</v>
      </c>
      <c r="Z7" s="4">
        <f>'For user (EN)'!$H6/4</f>
        <v>0</v>
      </c>
      <c r="AA7" s="4">
        <f>'For user (EN)'!$H6/4</f>
        <v>0</v>
      </c>
    </row>
    <row r="9" spans="1:27" x14ac:dyDescent="0.25">
      <c r="A9" s="5" t="s">
        <v>6</v>
      </c>
      <c r="B9" s="39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x14ac:dyDescent="0.25">
      <c r="A10" s="26" t="s">
        <v>113</v>
      </c>
      <c r="B10" s="40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 spans="1:27" x14ac:dyDescent="0.25">
      <c r="A11" s="32" t="s">
        <v>45</v>
      </c>
      <c r="B11" s="34" t="s">
        <v>31</v>
      </c>
      <c r="C11" s="48"/>
      <c r="D11" s="33">
        <f>'Fiscal Model Import'!O31</f>
        <v>2.66166666666666</v>
      </c>
      <c r="E11" s="33">
        <f>'Fiscal Model Import'!P31</f>
        <v>2.5960000000000001</v>
      </c>
      <c r="F11" s="33">
        <f>'Fiscal Model Import'!Q31</f>
        <v>2.246</v>
      </c>
      <c r="G11" s="33">
        <f>'Fiscal Model Import'!R31</f>
        <v>2.1846670000000001</v>
      </c>
      <c r="H11" s="33">
        <f>'Fiscal Model Import'!S31</f>
        <v>2.2000000000000002</v>
      </c>
      <c r="I11" s="33">
        <f>'Fiscal Model Import'!T31</f>
        <v>2.2000000000000002</v>
      </c>
      <c r="J11" s="33">
        <f>'Fiscal Model Import'!U31</f>
        <v>2.2000000000000002</v>
      </c>
      <c r="K11" s="33">
        <f>'Fiscal Model Import'!V31</f>
        <v>2.2000000000000002</v>
      </c>
      <c r="L11" s="33">
        <f>'Fiscal Model Import'!W31</f>
        <v>2.4500000000000002</v>
      </c>
      <c r="M11" s="33">
        <f>'Fiscal Model Import'!X31</f>
        <v>2.4500000000000002</v>
      </c>
      <c r="N11" s="33">
        <f>'Fiscal Model Import'!Y31</f>
        <v>2.7</v>
      </c>
      <c r="O11" s="33">
        <f>'Fiscal Model Import'!Z31</f>
        <v>2.7</v>
      </c>
      <c r="P11" s="33">
        <f>'Fiscal Model Import'!AA31</f>
        <v>2.7</v>
      </c>
      <c r="Q11" s="33">
        <f>'Fiscal Model Import'!AB31</f>
        <v>2.7</v>
      </c>
      <c r="R11" s="33">
        <f>'Fiscal Model Import'!AC31</f>
        <v>2.7</v>
      </c>
      <c r="S11" s="33">
        <f>'Fiscal Model Import'!AD31</f>
        <v>2.7</v>
      </c>
      <c r="T11" s="33">
        <f>'Fiscal Model Import'!AE31</f>
        <v>2.7</v>
      </c>
      <c r="U11" s="33">
        <f>'Fiscal Model Import'!AF31</f>
        <v>2.7</v>
      </c>
      <c r="V11" s="33">
        <f>'Fiscal Model Import'!AG31</f>
        <v>2.7</v>
      </c>
      <c r="W11" s="33">
        <f>'Fiscal Model Import'!AH31</f>
        <v>2.7</v>
      </c>
      <c r="X11" s="33">
        <f>'Fiscal Model Import'!AI31</f>
        <v>2.7</v>
      </c>
      <c r="Y11" s="33">
        <f>'Fiscal Model Import'!AJ31</f>
        <v>2.7</v>
      </c>
      <c r="Z11" s="33">
        <f>'Fiscal Model Import'!AK31</f>
        <v>2.7</v>
      </c>
      <c r="AA11" s="33">
        <f>'Fiscal Model Import'!AL31</f>
        <v>2.7</v>
      </c>
    </row>
    <row r="12" spans="1:27" x14ac:dyDescent="0.25">
      <c r="A12" s="25" t="s">
        <v>46</v>
      </c>
      <c r="B12" s="35" t="s">
        <v>31</v>
      </c>
      <c r="C12" s="29"/>
      <c r="D12" s="31">
        <f>'Fiscal Model Import'!O29</f>
        <v>3.53</v>
      </c>
      <c r="E12" s="31">
        <f>'Fiscal Model Import'!P29</f>
        <v>3.7833333333333301</v>
      </c>
      <c r="F12" s="31">
        <f>'Fiscal Model Import'!Q29</f>
        <v>3.6766666666666601</v>
      </c>
      <c r="G12" s="31">
        <f>'Fiscal Model Import'!R29</f>
        <v>3.8372730000000002</v>
      </c>
      <c r="H12" s="31">
        <f>'Fiscal Model Import'!S29</f>
        <v>3.8255129999999999</v>
      </c>
      <c r="I12" s="31">
        <f>'Fiscal Model Import'!T29</f>
        <v>3.8136239999999999</v>
      </c>
      <c r="J12" s="31">
        <f>'Fiscal Model Import'!U29</f>
        <v>3.8017349999999999</v>
      </c>
      <c r="K12" s="31">
        <f>'Fiscal Model Import'!V29</f>
        <v>3.789847</v>
      </c>
      <c r="L12" s="31">
        <f>'Fiscal Model Import'!W29</f>
        <v>3.7779579999999999</v>
      </c>
      <c r="M12" s="31">
        <f>'Fiscal Model Import'!X29</f>
        <v>3.763979</v>
      </c>
      <c r="N12" s="31">
        <f>'Fiscal Model Import'!Y29</f>
        <v>3.75</v>
      </c>
      <c r="O12" s="31">
        <f>'Fiscal Model Import'!Z29</f>
        <v>3.75</v>
      </c>
      <c r="P12" s="31">
        <f>'Fiscal Model Import'!AA29</f>
        <v>3.75</v>
      </c>
      <c r="Q12" s="31">
        <f>'Fiscal Model Import'!AB29</f>
        <v>3.75</v>
      </c>
      <c r="R12" s="31">
        <f>'Fiscal Model Import'!AC29</f>
        <v>3.75</v>
      </c>
      <c r="S12" s="31">
        <f>'Fiscal Model Import'!AD29</f>
        <v>3.75</v>
      </c>
      <c r="T12" s="31">
        <f>'Fiscal Model Import'!AE29</f>
        <v>3.75</v>
      </c>
      <c r="U12" s="31">
        <f>'Fiscal Model Import'!AF29</f>
        <v>3.75</v>
      </c>
      <c r="V12" s="31">
        <f>'Fiscal Model Import'!AG29</f>
        <v>3.75</v>
      </c>
      <c r="W12" s="31">
        <f>'Fiscal Model Import'!AH29</f>
        <v>3.75</v>
      </c>
      <c r="X12" s="31">
        <f>'Fiscal Model Import'!AI29</f>
        <v>3.75</v>
      </c>
      <c r="Y12" s="31">
        <f>'Fiscal Model Import'!AJ29</f>
        <v>3.75</v>
      </c>
      <c r="Z12" s="31">
        <f>'Fiscal Model Import'!AK29</f>
        <v>3.75</v>
      </c>
      <c r="AA12" s="31">
        <f>'Fiscal Model Import'!AL29</f>
        <v>3.75</v>
      </c>
    </row>
    <row r="13" spans="1:27" x14ac:dyDescent="0.25">
      <c r="A13" s="25" t="s">
        <v>226</v>
      </c>
      <c r="B13" s="35" t="s">
        <v>31</v>
      </c>
      <c r="C13" s="29"/>
      <c r="D13" s="31">
        <f>'Fiscal Model Import'!O32</f>
        <v>2.9906666666666601</v>
      </c>
      <c r="E13" s="31">
        <f>'Fiscal Model Import'!P32</f>
        <v>3.0644</v>
      </c>
      <c r="F13" s="31">
        <f>'Fiscal Model Import'!Q32</f>
        <v>2.8384</v>
      </c>
      <c r="G13" s="31">
        <f>'Fiscal Model Import'!R32</f>
        <v>2.9120889999999999</v>
      </c>
      <c r="H13" s="31">
        <f>'Fiscal Model Import'!S32</f>
        <v>2.4156075408348499</v>
      </c>
      <c r="I13" s="31">
        <f>'Fiscal Model Import'!T32</f>
        <v>2.4483044266243899</v>
      </c>
      <c r="J13" s="31">
        <f>'Fiscal Model Import'!U32</f>
        <v>2.5111633473523298</v>
      </c>
      <c r="K13" s="31">
        <f>'Fiscal Model Import'!V32</f>
        <v>2.5772256649611598</v>
      </c>
      <c r="L13" s="31">
        <f>'Fiscal Model Import'!W32</f>
        <v>2.6982252129903701</v>
      </c>
      <c r="M13" s="31">
        <f>'Fiscal Model Import'!X32</f>
        <v>2.7315614500000001</v>
      </c>
      <c r="N13" s="31">
        <f>'Fiscal Model Import'!Y32</f>
        <v>2.82</v>
      </c>
      <c r="O13" s="31">
        <f>'Fiscal Model Import'!Z32</f>
        <v>2.82</v>
      </c>
      <c r="P13" s="31">
        <f>'Fiscal Model Import'!AA32</f>
        <v>2.82</v>
      </c>
      <c r="Q13" s="31">
        <f>'Fiscal Model Import'!AB32</f>
        <v>2.82</v>
      </c>
      <c r="R13" s="31">
        <f>'Fiscal Model Import'!AC32</f>
        <v>2.82</v>
      </c>
      <c r="S13" s="31">
        <f>'Fiscal Model Import'!AD32</f>
        <v>2.82</v>
      </c>
      <c r="T13" s="31">
        <f>'Fiscal Model Import'!AE32</f>
        <v>2.82</v>
      </c>
      <c r="U13" s="31">
        <f>'Fiscal Model Import'!AF32</f>
        <v>2.82</v>
      </c>
      <c r="V13" s="31">
        <f>'Fiscal Model Import'!AG32</f>
        <v>2.82</v>
      </c>
      <c r="W13" s="31">
        <f>'Fiscal Model Import'!AH32</f>
        <v>2.82</v>
      </c>
      <c r="X13" s="31">
        <f>'Fiscal Model Import'!AI32</f>
        <v>2.82</v>
      </c>
      <c r="Y13" s="31">
        <f>'Fiscal Model Import'!AJ32</f>
        <v>2.82</v>
      </c>
      <c r="Z13" s="31">
        <f>'Fiscal Model Import'!AK32</f>
        <v>2.82</v>
      </c>
      <c r="AA13" s="31">
        <f>'Fiscal Model Import'!AL32</f>
        <v>2.82</v>
      </c>
    </row>
    <row r="14" spans="1:27" x14ac:dyDescent="0.25">
      <c r="A14" s="25" t="s">
        <v>227</v>
      </c>
      <c r="B14" s="35" t="s">
        <v>31</v>
      </c>
      <c r="C14" s="29"/>
      <c r="D14" s="31">
        <f>'Fiscal Model Import'!O33</f>
        <v>2.9906666666666601</v>
      </c>
      <c r="E14" s="31">
        <f>'Fiscal Model Import'!P33</f>
        <v>3.0644</v>
      </c>
      <c r="F14" s="31">
        <f>'Fiscal Model Import'!Q33</f>
        <v>2.8384</v>
      </c>
      <c r="G14" s="31">
        <f>'Fiscal Model Import'!R33</f>
        <v>2.9120889999999999</v>
      </c>
      <c r="H14" s="31">
        <f>'Fiscal Model Import'!S33</f>
        <v>2.48985046083485</v>
      </c>
      <c r="I14" s="31">
        <f>'Fiscal Model Import'!T33</f>
        <v>2.52329872662439</v>
      </c>
      <c r="J14" s="31">
        <f>'Fiscal Model Import'!U33</f>
        <v>2.5869092073523299</v>
      </c>
      <c r="K14" s="31">
        <f>'Fiscal Model Import'!V33</f>
        <v>2.6537230849611602</v>
      </c>
      <c r="L14" s="31">
        <f>'Fiscal Model Import'!W33</f>
        <v>2.76047437299037</v>
      </c>
      <c r="M14" s="31">
        <f>'Fiscal Model Import'!X33</f>
        <v>2.7941860300000001</v>
      </c>
      <c r="N14" s="31">
        <f>'Fiscal Model Import'!Y33</f>
        <v>2.8679999999999999</v>
      </c>
      <c r="O14" s="31">
        <f>'Fiscal Model Import'!Z33</f>
        <v>2.8679999999999999</v>
      </c>
      <c r="P14" s="31">
        <f>'Fiscal Model Import'!AA33</f>
        <v>2.8679999999999999</v>
      </c>
      <c r="Q14" s="31">
        <f>'Fiscal Model Import'!AB33</f>
        <v>2.8679999999999999</v>
      </c>
      <c r="R14" s="31">
        <f>'Fiscal Model Import'!AC33</f>
        <v>2.8679999999999999</v>
      </c>
      <c r="S14" s="31">
        <f>'Fiscal Model Import'!AD33</f>
        <v>2.8679999999999999</v>
      </c>
      <c r="T14" s="31">
        <f>'Fiscal Model Import'!AE33</f>
        <v>2.8679999999999999</v>
      </c>
      <c r="U14" s="31">
        <f>'Fiscal Model Import'!AF33</f>
        <v>2.8679999999999999</v>
      </c>
      <c r="V14" s="31">
        <f>'Fiscal Model Import'!AG33</f>
        <v>2.8679999999999999</v>
      </c>
      <c r="W14" s="31">
        <f>'Fiscal Model Import'!AH33</f>
        <v>2.8679999999999999</v>
      </c>
      <c r="X14" s="31">
        <f>'Fiscal Model Import'!AI33</f>
        <v>2.8679999999999999</v>
      </c>
      <c r="Y14" s="31">
        <f>'Fiscal Model Import'!AJ33</f>
        <v>2.8679999999999999</v>
      </c>
      <c r="Z14" s="31">
        <f>'Fiscal Model Import'!AK33</f>
        <v>2.8679999999999999</v>
      </c>
      <c r="AA14" s="31">
        <f>'Fiscal Model Import'!AL33</f>
        <v>2.8679999999999999</v>
      </c>
    </row>
    <row r="15" spans="1:27" x14ac:dyDescent="0.25">
      <c r="A15" s="25" t="s">
        <v>228</v>
      </c>
      <c r="B15" s="35" t="s">
        <v>31</v>
      </c>
      <c r="C15" s="29"/>
      <c r="D15" s="31">
        <f>'Fiscal Model Import'!O34</f>
        <v>2.9906666666666601</v>
      </c>
      <c r="E15" s="31">
        <f>'Fiscal Model Import'!P34</f>
        <v>3.0644</v>
      </c>
      <c r="F15" s="31">
        <f>'Fiscal Model Import'!Q34</f>
        <v>2.8384</v>
      </c>
      <c r="G15" s="31">
        <f>'Fiscal Model Import'!R34</f>
        <v>2.9120889999999999</v>
      </c>
      <c r="H15" s="31">
        <f>'Fiscal Model Import'!S34</f>
        <v>2.6878315808348501</v>
      </c>
      <c r="I15" s="31">
        <f>'Fiscal Model Import'!T34</f>
        <v>2.7232835266243902</v>
      </c>
      <c r="J15" s="31">
        <f>'Fiscal Model Import'!U34</f>
        <v>2.7888981673523299</v>
      </c>
      <c r="K15" s="31">
        <f>'Fiscal Model Import'!V34</f>
        <v>2.85771620496116</v>
      </c>
      <c r="L15" s="31">
        <f>'Fiscal Model Import'!W34</f>
        <v>2.9264721329903698</v>
      </c>
      <c r="M15" s="31">
        <f>'Fiscal Model Import'!X34</f>
        <v>2.9611849100000001</v>
      </c>
      <c r="N15" s="31">
        <f>'Fiscal Model Import'!Y34</f>
        <v>2.996</v>
      </c>
      <c r="O15" s="31">
        <f>'Fiscal Model Import'!Z34</f>
        <v>2.996</v>
      </c>
      <c r="P15" s="31">
        <f>'Fiscal Model Import'!AA34</f>
        <v>2.996</v>
      </c>
      <c r="Q15" s="31">
        <f>'Fiscal Model Import'!AB34</f>
        <v>2.996</v>
      </c>
      <c r="R15" s="31">
        <f>'Fiscal Model Import'!AC34</f>
        <v>2.996</v>
      </c>
      <c r="S15" s="31">
        <f>'Fiscal Model Import'!AD34</f>
        <v>2.996</v>
      </c>
      <c r="T15" s="31">
        <f>'Fiscal Model Import'!AE34</f>
        <v>2.996</v>
      </c>
      <c r="U15" s="31">
        <f>'Fiscal Model Import'!AF34</f>
        <v>2.996</v>
      </c>
      <c r="V15" s="31">
        <f>'Fiscal Model Import'!AG34</f>
        <v>2.996</v>
      </c>
      <c r="W15" s="31">
        <f>'Fiscal Model Import'!AH34</f>
        <v>2.996</v>
      </c>
      <c r="X15" s="31">
        <f>'Fiscal Model Import'!AI34</f>
        <v>2.996</v>
      </c>
      <c r="Y15" s="31">
        <f>'Fiscal Model Import'!AJ34</f>
        <v>2.996</v>
      </c>
      <c r="Z15" s="31">
        <f>'Fiscal Model Import'!AK34</f>
        <v>2.996</v>
      </c>
      <c r="AA15" s="31">
        <f>'Fiscal Model Import'!AL34</f>
        <v>2.996</v>
      </c>
    </row>
    <row r="16" spans="1:27" x14ac:dyDescent="0.25">
      <c r="A16" s="7" t="s">
        <v>51</v>
      </c>
      <c r="B16" s="35" t="s">
        <v>32</v>
      </c>
      <c r="C16" s="29"/>
      <c r="D16" s="8">
        <f>'Fiscal Model Import'!O42</f>
        <v>2.9356926478717464</v>
      </c>
      <c r="E16" s="8">
        <f>'Fiscal Model Import'!P42</f>
        <v>2.976965616362631</v>
      </c>
      <c r="F16" s="8">
        <f>'Fiscal Model Import'!Q42</f>
        <v>2.7145156440022093</v>
      </c>
      <c r="G16" s="8">
        <f>'Fiscal Model Import'!R42</f>
        <v>2.7404523499170814</v>
      </c>
      <c r="H16" s="8">
        <f>'Fiscal Model Import'!S42</f>
        <v>2.6154788170651897</v>
      </c>
      <c r="I16" s="8">
        <f>'Fiscal Model Import'!T42</f>
        <v>2.6246962842974719</v>
      </c>
      <c r="J16" s="8">
        <f>'Fiscal Model Import'!U42</f>
        <v>2.6441179149915013</v>
      </c>
      <c r="K16" s="8">
        <f>'Fiscal Model Import'!V42</f>
        <v>2.6646234693400936</v>
      </c>
      <c r="L16" s="8">
        <f>'Fiscal Model Import'!W42</f>
        <v>2.8146267640630773</v>
      </c>
      <c r="M16" s="8">
        <f>'Fiscal Model Import'!X42</f>
        <v>2.823476838208955</v>
      </c>
      <c r="N16" s="8">
        <f>'Fiscal Model Import'!Y42</f>
        <v>2.9618805970149253</v>
      </c>
      <c r="O16" s="8">
        <f>'Fiscal Model Import'!Z42</f>
        <v>2.9618805970149253</v>
      </c>
      <c r="P16" s="8">
        <f>'Fiscal Model Import'!AA42</f>
        <v>2.9618805970149253</v>
      </c>
      <c r="Q16" s="8">
        <f>'Fiscal Model Import'!AB42</f>
        <v>2.9618805970149253</v>
      </c>
      <c r="R16" s="8">
        <f>'Fiscal Model Import'!AC42</f>
        <v>2.9618805970149253</v>
      </c>
      <c r="S16" s="8">
        <f>'Fiscal Model Import'!AD42</f>
        <v>2.9618805970149253</v>
      </c>
      <c r="T16" s="8">
        <f>'Fiscal Model Import'!AE42</f>
        <v>2.9618805970149253</v>
      </c>
      <c r="U16" s="8">
        <f>'Fiscal Model Import'!AF42</f>
        <v>2.9618805970149253</v>
      </c>
      <c r="V16" s="8">
        <f>'Fiscal Model Import'!AG42</f>
        <v>2.9618805970149253</v>
      </c>
      <c r="W16" s="8">
        <f>'Fiscal Model Import'!AH42</f>
        <v>2.9618805970149253</v>
      </c>
      <c r="X16" s="8">
        <f>'Fiscal Model Import'!AI42</f>
        <v>2.9618805970149253</v>
      </c>
      <c r="Y16" s="8">
        <f>'Fiscal Model Import'!AJ42</f>
        <v>2.9618805970149253</v>
      </c>
      <c r="Z16" s="8">
        <f>'Fiscal Model Import'!AK42</f>
        <v>2.9618805970149253</v>
      </c>
      <c r="AA16" s="8">
        <f>'Fiscal Model Import'!AL42</f>
        <v>2.9618805970149253</v>
      </c>
    </row>
    <row r="17" spans="1:27" x14ac:dyDescent="0.25">
      <c r="A17" s="7"/>
      <c r="B17" s="35"/>
      <c r="C17" s="29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x14ac:dyDescent="0.25">
      <c r="A18" s="28" t="s">
        <v>26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spans="1:27" x14ac:dyDescent="0.25">
      <c r="A19" s="7" t="s">
        <v>233</v>
      </c>
      <c r="B19" s="35" t="s">
        <v>28</v>
      </c>
      <c r="C19" s="29"/>
      <c r="D19" s="9">
        <f>(D16/100)*D7/4</f>
        <v>0</v>
      </c>
      <c r="E19" s="9">
        <f t="shared" ref="E19:W19" si="0">(E16/100)*E7/4</f>
        <v>0</v>
      </c>
      <c r="F19" s="9">
        <f t="shared" si="0"/>
        <v>0</v>
      </c>
      <c r="G19" s="9">
        <f t="shared" si="0"/>
        <v>0</v>
      </c>
      <c r="H19" s="9">
        <f>(H16/100)*H7/4</f>
        <v>0</v>
      </c>
      <c r="I19" s="9">
        <f t="shared" si="0"/>
        <v>0</v>
      </c>
      <c r="J19" s="9">
        <f t="shared" si="0"/>
        <v>0</v>
      </c>
      <c r="K19" s="9">
        <f t="shared" si="0"/>
        <v>0</v>
      </c>
      <c r="L19" s="9">
        <f>(L16/100)*L7/4</f>
        <v>0</v>
      </c>
      <c r="M19" s="9">
        <f t="shared" si="0"/>
        <v>0</v>
      </c>
      <c r="N19" s="9">
        <f t="shared" si="0"/>
        <v>0</v>
      </c>
      <c r="O19" s="9">
        <f t="shared" si="0"/>
        <v>0</v>
      </c>
      <c r="P19" s="9">
        <f t="shared" si="0"/>
        <v>0</v>
      </c>
      <c r="Q19" s="9">
        <f t="shared" si="0"/>
        <v>0</v>
      </c>
      <c r="R19" s="9">
        <f t="shared" si="0"/>
        <v>0</v>
      </c>
      <c r="S19" s="9">
        <f t="shared" si="0"/>
        <v>0</v>
      </c>
      <c r="T19" s="9">
        <f t="shared" si="0"/>
        <v>0</v>
      </c>
      <c r="U19" s="9">
        <f t="shared" si="0"/>
        <v>0</v>
      </c>
      <c r="V19" s="9">
        <f t="shared" si="0"/>
        <v>0</v>
      </c>
      <c r="W19" s="9">
        <f t="shared" si="0"/>
        <v>0</v>
      </c>
      <c r="X19" s="9">
        <f t="shared" ref="X19:AA19" si="1">(X16/100)*X7/4</f>
        <v>0</v>
      </c>
      <c r="Y19" s="9">
        <f t="shared" si="1"/>
        <v>0</v>
      </c>
      <c r="Z19" s="9">
        <f t="shared" si="1"/>
        <v>0</v>
      </c>
      <c r="AA19" s="9">
        <f t="shared" si="1"/>
        <v>0</v>
      </c>
    </row>
    <row r="20" spans="1:27" x14ac:dyDescent="0.25">
      <c r="A20" s="7" t="s">
        <v>234</v>
      </c>
      <c r="B20" s="35" t="s">
        <v>29</v>
      </c>
      <c r="C20" s="29"/>
      <c r="D20" s="9">
        <f>(C71/100)*C75/4</f>
        <v>0</v>
      </c>
      <c r="E20" s="9">
        <f t="shared" ref="E20:W20" si="2">(D71/100)*D75/4</f>
        <v>0</v>
      </c>
      <c r="F20" s="9">
        <f t="shared" si="2"/>
        <v>0</v>
      </c>
      <c r="G20" s="9">
        <f t="shared" si="2"/>
        <v>0</v>
      </c>
      <c r="H20" s="9">
        <f>(G71/100)*G75/4</f>
        <v>0</v>
      </c>
      <c r="I20" s="9">
        <f>(H71/100)*H75/4</f>
        <v>0</v>
      </c>
      <c r="J20" s="9">
        <f>(I71/100)*I75/4</f>
        <v>0</v>
      </c>
      <c r="K20" s="9">
        <f t="shared" si="2"/>
        <v>0</v>
      </c>
      <c r="L20" s="9">
        <f>(K71/100)*K75/4</f>
        <v>0</v>
      </c>
      <c r="M20" s="9">
        <f t="shared" si="2"/>
        <v>0</v>
      </c>
      <c r="N20" s="9">
        <f t="shared" si="2"/>
        <v>0</v>
      </c>
      <c r="O20" s="9">
        <f t="shared" si="2"/>
        <v>0</v>
      </c>
      <c r="P20" s="9">
        <f t="shared" si="2"/>
        <v>0</v>
      </c>
      <c r="Q20" s="9">
        <f t="shared" si="2"/>
        <v>0</v>
      </c>
      <c r="R20" s="9">
        <f t="shared" si="2"/>
        <v>0</v>
      </c>
      <c r="S20" s="9">
        <f t="shared" si="2"/>
        <v>0</v>
      </c>
      <c r="T20" s="9">
        <f>(S71/100)*S75/4</f>
        <v>0</v>
      </c>
      <c r="U20" s="9">
        <f t="shared" si="2"/>
        <v>0</v>
      </c>
      <c r="V20" s="9">
        <f t="shared" si="2"/>
        <v>0</v>
      </c>
      <c r="W20" s="9">
        <f t="shared" si="2"/>
        <v>0</v>
      </c>
      <c r="X20" s="9">
        <f>(W71/100)*W75/4</f>
        <v>0</v>
      </c>
      <c r="Y20" s="9">
        <f t="shared" ref="Y20" si="3">(X71/100)*X75/4</f>
        <v>0</v>
      </c>
      <c r="Z20" s="9">
        <f t="shared" ref="Z20" si="4">(Y71/100)*Y75/4</f>
        <v>0</v>
      </c>
      <c r="AA20" s="9">
        <f t="shared" ref="AA20" si="5">(Z71/100)*Z75/4</f>
        <v>0</v>
      </c>
    </row>
    <row r="21" spans="1:27" ht="26.25" x14ac:dyDescent="0.25">
      <c r="A21" s="7" t="s">
        <v>220</v>
      </c>
      <c r="B21" s="35" t="s">
        <v>30</v>
      </c>
      <c r="C21" s="29"/>
      <c r="D21" s="9">
        <f>-(D7+D19+D20)</f>
        <v>0</v>
      </c>
      <c r="E21" s="9">
        <f t="shared" ref="E21:W21" si="6">-(E7+E19+E20)</f>
        <v>0</v>
      </c>
      <c r="F21" s="9">
        <f>-(F7+F19+F20)</f>
        <v>0</v>
      </c>
      <c r="G21" s="9">
        <f t="shared" si="6"/>
        <v>0</v>
      </c>
      <c r="H21" s="9">
        <f>-(H7+H19+H20)</f>
        <v>0</v>
      </c>
      <c r="I21" s="9">
        <f>-(I7+I19+I20)</f>
        <v>0</v>
      </c>
      <c r="J21" s="9">
        <f>-(J7+J19+J20)</f>
        <v>0</v>
      </c>
      <c r="K21" s="9">
        <f t="shared" si="6"/>
        <v>0</v>
      </c>
      <c r="L21" s="9">
        <f>-(L7+L19+L20)</f>
        <v>0</v>
      </c>
      <c r="M21" s="9">
        <f t="shared" si="6"/>
        <v>0</v>
      </c>
      <c r="N21" s="9">
        <f t="shared" si="6"/>
        <v>0</v>
      </c>
      <c r="O21" s="9">
        <f t="shared" si="6"/>
        <v>0</v>
      </c>
      <c r="P21" s="9">
        <f t="shared" si="6"/>
        <v>0</v>
      </c>
      <c r="Q21" s="9">
        <f t="shared" si="6"/>
        <v>0</v>
      </c>
      <c r="R21" s="9">
        <f t="shared" si="6"/>
        <v>0</v>
      </c>
      <c r="S21" s="9">
        <f t="shared" si="6"/>
        <v>0</v>
      </c>
      <c r="T21" s="9">
        <f t="shared" si="6"/>
        <v>0</v>
      </c>
      <c r="U21" s="9">
        <f t="shared" si="6"/>
        <v>0</v>
      </c>
      <c r="V21" s="9">
        <f t="shared" si="6"/>
        <v>0</v>
      </c>
      <c r="W21" s="9">
        <f t="shared" si="6"/>
        <v>0</v>
      </c>
      <c r="X21" s="9">
        <f t="shared" ref="X21:AA21" si="7">-(X7+X19+X20)</f>
        <v>0</v>
      </c>
      <c r="Y21" s="9">
        <f t="shared" si="7"/>
        <v>0</v>
      </c>
      <c r="Z21" s="9">
        <f t="shared" si="7"/>
        <v>0</v>
      </c>
      <c r="AA21" s="9">
        <f t="shared" si="7"/>
        <v>0</v>
      </c>
    </row>
    <row r="22" spans="1:27" ht="26.25" x14ac:dyDescent="0.25">
      <c r="A22" s="7" t="s">
        <v>236</v>
      </c>
      <c r="B22" s="35" t="s">
        <v>235</v>
      </c>
      <c r="C22" s="29"/>
      <c r="D22" s="9">
        <f>MAX(0,SUM($D21:D21))</f>
        <v>0</v>
      </c>
      <c r="E22" s="9">
        <f>MAX(0,SUM($D21:E21))</f>
        <v>0</v>
      </c>
      <c r="F22" s="9">
        <f>MAX(0,SUM($D21:F21))</f>
        <v>0</v>
      </c>
      <c r="G22" s="9">
        <f>MAX(0,SUM($D21:G21))</f>
        <v>0</v>
      </c>
      <c r="H22" s="9">
        <f>MAX(0,SUM($D21:H21))</f>
        <v>0</v>
      </c>
      <c r="I22" s="9">
        <f>MAX(0,SUM($D21:I21))</f>
        <v>0</v>
      </c>
      <c r="J22" s="9">
        <f>MAX(0,SUM($D21:J21))</f>
        <v>0</v>
      </c>
      <c r="K22" s="9">
        <f>MAX(0,SUM($D21:K21))</f>
        <v>0</v>
      </c>
      <c r="L22" s="9">
        <f>MAX(0,SUM($D21:L21))</f>
        <v>0</v>
      </c>
      <c r="M22" s="9">
        <f>MAX(0,SUM($D21:M21))</f>
        <v>0</v>
      </c>
      <c r="N22" s="9">
        <f>MAX(0,SUM($D21:N21))</f>
        <v>0</v>
      </c>
      <c r="O22" s="9">
        <f>MAX(0,SUM($D21:O21))</f>
        <v>0</v>
      </c>
      <c r="P22" s="9">
        <f>MAX(0,SUM($D21:P21))</f>
        <v>0</v>
      </c>
      <c r="Q22" s="9">
        <f>MAX(0,SUM($D21:Q21))</f>
        <v>0</v>
      </c>
      <c r="R22" s="9">
        <f>MAX(0,SUM($D21:R21))</f>
        <v>0</v>
      </c>
      <c r="S22" s="9">
        <f>MAX(0,SUM($D21:S21))</f>
        <v>0</v>
      </c>
      <c r="T22" s="9">
        <f>MAX(0,SUM($D21:T21))</f>
        <v>0</v>
      </c>
      <c r="U22" s="9">
        <f>MAX(0,SUM($D21:U21))</f>
        <v>0</v>
      </c>
      <c r="V22" s="9">
        <f>MAX(0,SUM($D21:V21))</f>
        <v>0</v>
      </c>
      <c r="W22" s="9">
        <f>MAX(0,SUM($D21:W21))</f>
        <v>0</v>
      </c>
      <c r="X22" s="9">
        <f>MAX(0,SUM($D21:X21))</f>
        <v>0</v>
      </c>
      <c r="Y22" s="9">
        <f>MAX(0,SUM($D21:Y21))</f>
        <v>0</v>
      </c>
      <c r="Z22" s="9">
        <f>MAX(0,SUM($D21:Z21))</f>
        <v>0</v>
      </c>
      <c r="AA22" s="9">
        <f>MAX(0,SUM($D21:AA21))</f>
        <v>0</v>
      </c>
    </row>
    <row r="23" spans="1:27" x14ac:dyDescent="0.25">
      <c r="A23" s="7"/>
      <c r="B23" s="35"/>
      <c r="C23" s="2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x14ac:dyDescent="0.25">
      <c r="A24" s="28" t="s">
        <v>112</v>
      </c>
      <c r="B24" s="41"/>
      <c r="C24" s="29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27" ht="26.25" x14ac:dyDescent="0.25">
      <c r="A25" s="25" t="s">
        <v>255</v>
      </c>
      <c r="B25" s="35" t="s">
        <v>107</v>
      </c>
      <c r="C25" s="29"/>
      <c r="D25" s="9">
        <f>IF(D$22&gt;0,MIN(MAX(SUM(D$21,D$55,D$59),0),D$22)*'Fiscal Model Import'!O44,0)</f>
        <v>0</v>
      </c>
      <c r="E25" s="9">
        <f>IF(E$22&gt;0,MIN(MAX(SUM(E$21,E$55,E$59),0),E$22)*'Fiscal Model Import'!P44,0)</f>
        <v>0</v>
      </c>
      <c r="F25" s="9">
        <f>IF(F$22&gt;0,MIN(MAX(SUM(F$21,F$55,F$59),0),F$22)*'Fiscal Model Import'!Q44,0)</f>
        <v>0</v>
      </c>
      <c r="G25" s="9">
        <f>IF(G$22&gt;0,MIN(MAX(SUM(G$21,G$55,G$59),0),G$22)*'Fiscal Model Import'!R44,0)</f>
        <v>0</v>
      </c>
      <c r="H25" s="9">
        <f>IF(H$22&gt;0,MIN(MAX(SUM(H$21,H$55,H$59),0),H$22)*'Fiscal Model Import'!S44,0)</f>
        <v>0</v>
      </c>
      <c r="I25" s="9">
        <f>IF(I$22&gt;0,MIN(MAX(SUM(I$21,I$55,I$59),0),I$22)*'Fiscal Model Import'!T44,0)</f>
        <v>0</v>
      </c>
      <c r="J25" s="9">
        <f>IF(J$22&gt;0,MIN(MAX(SUM(J$21,J$55,J$59),0),J$22)*'Fiscal Model Import'!U44,0)</f>
        <v>0</v>
      </c>
      <c r="K25" s="9">
        <f>IF(K$22&gt;0,MIN(MAX(SUM(K$21,K$55,K$59),0),K$22)*'Fiscal Model Import'!V44,0)</f>
        <v>0</v>
      </c>
      <c r="L25" s="9">
        <f>IF(L$22&gt;0,MIN(MAX(SUM(L$21,L$55,L$59),0),L$22)*'Fiscal Model Import'!W44,0)</f>
        <v>0</v>
      </c>
      <c r="M25" s="9">
        <f>IF(M$22&gt;0,MIN(MAX(SUM(M$21,M$55,M$59),0),M$22)*'Fiscal Model Import'!X44,0)</f>
        <v>0</v>
      </c>
      <c r="N25" s="9">
        <f>IF(N$22&gt;0,MIN(MAX(SUM(N$21,N$55,N$59),0),N$22)*'Fiscal Model Import'!Y44,0)</f>
        <v>0</v>
      </c>
      <c r="O25" s="9">
        <f>IF(O$22&gt;0,MIN(MAX(SUM(O$21,O$55,O$59),0),O$22)*'Fiscal Model Import'!Z44,0)</f>
        <v>0</v>
      </c>
      <c r="P25" s="9">
        <f>IF(P$22&gt;0,MIN(MAX(SUM(P$21,P$55,P$59),0),P$22)*'Fiscal Model Import'!AA44,0)</f>
        <v>0</v>
      </c>
      <c r="Q25" s="9">
        <f>IF(Q$22&gt;0,MIN(MAX(SUM(Q$21,Q$55,Q$59),0),Q$22)*'Fiscal Model Import'!AB44,0)</f>
        <v>0</v>
      </c>
      <c r="R25" s="9">
        <f>IF(R$22&gt;0,MIN(MAX(SUM(R$21,R$55,R$59),0),R$22)*'Fiscal Model Import'!AC44,0)</f>
        <v>0</v>
      </c>
      <c r="S25" s="9">
        <f>IF(S$22&gt;0,MIN(MAX(SUM(S$21,S$55,S$59),0),S$22)*'Fiscal Model Import'!AD44,0)</f>
        <v>0</v>
      </c>
      <c r="T25" s="9">
        <f>IF(T$22&gt;0,MIN(MAX(SUM(T$21,T$55,T$59),0),T$22)*'Fiscal Model Import'!AE44,0)</f>
        <v>0</v>
      </c>
      <c r="U25" s="9">
        <f>IF(U$22&gt;0,MIN(MAX(SUM(U$21,U$55,U$59),0),U$22)*'Fiscal Model Import'!AF44,0)</f>
        <v>0</v>
      </c>
      <c r="V25" s="9">
        <f>IF(V$22&gt;0,MIN(MAX(SUM(V$21,V$55,V$59),0),V$22)*'Fiscal Model Import'!AG44,0)</f>
        <v>0</v>
      </c>
      <c r="W25" s="9">
        <f>IF(W$22&gt;0,MIN(MAX(SUM(W$21,W$55,W$59),0),W$22)*'Fiscal Model Import'!AH44,0)</f>
        <v>0</v>
      </c>
      <c r="X25" s="9">
        <f>IF(X$22&gt;0,MIN(MAX(SUM(X$21,X$55,X$59),0),X$22)*'Fiscal Model Import'!AI44,0)</f>
        <v>0</v>
      </c>
      <c r="Y25" s="9">
        <f>IF(Y$22&gt;0,MIN(MAX(SUM(Y$21,Y$55,Y$59),0),Y$22)*'Fiscal Model Import'!AJ44,0)</f>
        <v>0</v>
      </c>
      <c r="Z25" s="9">
        <f>IF(Z$22&gt;0,MIN(MAX(SUM(Z$21,Z$55,Z$59),0),Z$22)*'Fiscal Model Import'!AK44,0)</f>
        <v>0</v>
      </c>
      <c r="AA25" s="9">
        <f>IF(AA$22&gt;0,MIN(MAX(SUM(AA$21,AA$55,AA$59),0),AA$22)*'Fiscal Model Import'!AL44,0)</f>
        <v>0</v>
      </c>
    </row>
    <row r="26" spans="1:27" x14ac:dyDescent="0.25">
      <c r="A26" s="25"/>
      <c r="B26" s="35"/>
      <c r="C26" s="2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x14ac:dyDescent="0.25">
      <c r="A27" s="25"/>
      <c r="B27" s="35"/>
      <c r="C27" s="2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x14ac:dyDescent="0.25">
      <c r="A28" s="25" t="s">
        <v>257</v>
      </c>
      <c r="B28" s="35" t="s">
        <v>258</v>
      </c>
      <c r="C28" s="29"/>
      <c r="D28" s="9">
        <f>SUM(D25:D27)</f>
        <v>0</v>
      </c>
      <c r="E28" s="9">
        <f t="shared" ref="E28:W28" si="8">SUM(E25:E27)</f>
        <v>0</v>
      </c>
      <c r="F28" s="9">
        <f t="shared" si="8"/>
        <v>0</v>
      </c>
      <c r="G28" s="9">
        <f t="shared" si="8"/>
        <v>0</v>
      </c>
      <c r="H28" s="9">
        <f t="shared" si="8"/>
        <v>0</v>
      </c>
      <c r="I28" s="9">
        <f t="shared" si="8"/>
        <v>0</v>
      </c>
      <c r="J28" s="9">
        <f t="shared" si="8"/>
        <v>0</v>
      </c>
      <c r="K28" s="9">
        <f>SUM(K25:K27)</f>
        <v>0</v>
      </c>
      <c r="L28" s="9">
        <f t="shared" si="8"/>
        <v>0</v>
      </c>
      <c r="M28" s="9">
        <f t="shared" si="8"/>
        <v>0</v>
      </c>
      <c r="N28" s="9">
        <f t="shared" si="8"/>
        <v>0</v>
      </c>
      <c r="O28" s="9">
        <f t="shared" si="8"/>
        <v>0</v>
      </c>
      <c r="P28" s="9">
        <f t="shared" si="8"/>
        <v>0</v>
      </c>
      <c r="Q28" s="9">
        <f t="shared" si="8"/>
        <v>0</v>
      </c>
      <c r="R28" s="9">
        <f t="shared" si="8"/>
        <v>0</v>
      </c>
      <c r="S28" s="9">
        <f t="shared" si="8"/>
        <v>0</v>
      </c>
      <c r="T28" s="9">
        <f t="shared" si="8"/>
        <v>0</v>
      </c>
      <c r="U28" s="9">
        <f t="shared" si="8"/>
        <v>0</v>
      </c>
      <c r="V28" s="9">
        <f t="shared" si="8"/>
        <v>0</v>
      </c>
      <c r="W28" s="9">
        <f t="shared" si="8"/>
        <v>0</v>
      </c>
      <c r="X28" s="9">
        <f t="shared" ref="X28:AA28" si="9">SUM(X25:X27)</f>
        <v>0</v>
      </c>
      <c r="Y28" s="9">
        <f t="shared" si="9"/>
        <v>0</v>
      </c>
      <c r="Z28" s="9">
        <f t="shared" si="9"/>
        <v>0</v>
      </c>
      <c r="AA28" s="9">
        <f t="shared" si="9"/>
        <v>0</v>
      </c>
    </row>
    <row r="29" spans="1:27" ht="26.25" x14ac:dyDescent="0.25">
      <c r="A29" s="25" t="s">
        <v>207</v>
      </c>
      <c r="B29" s="35" t="s">
        <v>210</v>
      </c>
      <c r="C29" s="29"/>
      <c r="D29" s="58">
        <f>IF(D22&gt;0,MIN(D22,MAX(0,SUM(D$21,D$55,D$59)))*'Fiscal Model Import'!O38,0)</f>
        <v>0</v>
      </c>
      <c r="E29" s="58">
        <f>IF(E22&gt;0,MIN(E22,MAX(0,SUM(E$21,E$55,E$59)))*'Fiscal Model Import'!P38,0)</f>
        <v>0</v>
      </c>
      <c r="F29" s="58">
        <f>IF(F22&gt;0,MIN(F22,MAX(0,SUM(F$21,F$55,F$59)))*'Fiscal Model Import'!Q38,0)</f>
        <v>0</v>
      </c>
      <c r="G29" s="58">
        <f>IF(G22&gt;0,MIN(G22,MAX(0,SUM(G$21,G$55,G$59)))*'Fiscal Model Import'!R38,0)</f>
        <v>0</v>
      </c>
      <c r="H29" s="58">
        <f>IF(H22&gt;0,MIN(H22,MAX(0,SUM(H$21,H$55,H$59)))*'Fiscal Model Import'!S38,0)</f>
        <v>0</v>
      </c>
      <c r="I29" s="58">
        <f>IF(I22&gt;0,MIN(I22,MAX(0,SUM(I$21,I$55,I$59)))*'Fiscal Model Import'!T38,0)</f>
        <v>0</v>
      </c>
      <c r="J29" s="58">
        <f>IF(J22&gt;0,MIN(J22,MAX(0,SUM(J$21,J$55,J$59)))*'Fiscal Model Import'!U38,0)</f>
        <v>0</v>
      </c>
      <c r="K29" s="58">
        <f>IF(K22&gt;0,MIN(K22,MAX(0,SUM(K$21,K$55,K$59)))*'Fiscal Model Import'!V38,0)</f>
        <v>0</v>
      </c>
      <c r="L29" s="58">
        <f>IF(L22&gt;0,MIN(L22,MAX(0,SUM(L$21,L$55,L$59)))*'Fiscal Model Import'!W38,0)</f>
        <v>0</v>
      </c>
      <c r="M29" s="58">
        <f>IF(M22&gt;0,MIN(M22,MAX(0,SUM(M$21,M$55,M$59)))*'Fiscal Model Import'!X38,0)</f>
        <v>0</v>
      </c>
      <c r="N29" s="58">
        <f>IF(N22&gt;0,MIN(N22,MAX(0,SUM(N$21,N$55,N$59)))*'Fiscal Model Import'!Y38,0)</f>
        <v>0</v>
      </c>
      <c r="O29" s="58">
        <f>IF(O22&gt;0,MIN(O22,MAX(0,SUM(O$21,O$55,O$59)))*'Fiscal Model Import'!Z38,0)</f>
        <v>0</v>
      </c>
      <c r="P29" s="58">
        <f>IF(P22&gt;0,MIN(P22,MAX(0,SUM(P$21,P$55,P$59)))*'Fiscal Model Import'!AA38,0)</f>
        <v>0</v>
      </c>
      <c r="Q29" s="58">
        <f>IF(Q22&gt;0,MIN(Q22,MAX(0,SUM(Q$21,Q$55,Q$59)))*'Fiscal Model Import'!AB38,0)</f>
        <v>0</v>
      </c>
      <c r="R29" s="58">
        <f>IF(R22&gt;0,MIN(R22,MAX(0,SUM(R$21,R$55,R$59)))*'Fiscal Model Import'!AC38,0)</f>
        <v>0</v>
      </c>
      <c r="S29" s="58">
        <f>IF(S22&gt;0,MIN(S22,MAX(0,SUM(S$21,S$55,S$59)))*'Fiscal Model Import'!AD38,0)</f>
        <v>0</v>
      </c>
      <c r="T29" s="58">
        <f>IF(T22&gt;0,MIN(T22,MAX(0,SUM(T$21,T$55,T$59)))*'Fiscal Model Import'!AE38,0)</f>
        <v>0</v>
      </c>
      <c r="U29" s="58">
        <f>IF(U22&gt;0,MIN(U22,MAX(0,SUM(U$21,U$55,U$59)))*'Fiscal Model Import'!AF38,0)</f>
        <v>0</v>
      </c>
      <c r="V29" s="58">
        <f>IF(V22&gt;0,MIN(V22,MAX(0,SUM(V$21,V$55,V$59)))*'Fiscal Model Import'!AG38,0)</f>
        <v>0</v>
      </c>
      <c r="W29" s="58">
        <f>IF(W22&gt;0,MIN(W22,MAX(0,SUM(W$21,W$55,W$59)))*'Fiscal Model Import'!AH38,0)</f>
        <v>0</v>
      </c>
      <c r="X29" s="58">
        <f>IF(X22&gt;0,MIN(X22,MAX(0,SUM(X$21,X$55,X$59)))*'Fiscal Model Import'!AI38,0)</f>
        <v>0</v>
      </c>
      <c r="Y29" s="58">
        <f>IF(Y22&gt;0,MIN(Y22,MAX(0,SUM(Y$21,Y$55,Y$59)))*'Fiscal Model Import'!AJ38,0)</f>
        <v>0</v>
      </c>
      <c r="Z29" s="58">
        <f>IF(Z22&gt;0,MIN(Z22,MAX(0,SUM(Z$21,Z$55,Z$59)))*'Fiscal Model Import'!AK38,0)</f>
        <v>0</v>
      </c>
      <c r="AA29" s="58">
        <f>IF(AA22&gt;0,MIN(AA22,MAX(0,SUM(AA$21,AA$55,AA$59)))*'Fiscal Model Import'!AL38,0)</f>
        <v>0</v>
      </c>
    </row>
    <row r="30" spans="1:27" ht="26.25" x14ac:dyDescent="0.25">
      <c r="A30" s="25" t="s">
        <v>208</v>
      </c>
      <c r="B30" s="35" t="s">
        <v>211</v>
      </c>
      <c r="C30" s="29"/>
      <c r="D30" s="58">
        <f>IF(D22&gt;0,MIN(D22,MAX(SUM(D$21,D$55,D$59),0))*'Fiscal Model Import'!O39,0)</f>
        <v>0</v>
      </c>
      <c r="E30" s="58">
        <f>IF(E22&gt;0,MIN(E22,MAX(SUM(E$21,E$55,E$59),0))*'Fiscal Model Import'!P39,0)</f>
        <v>0</v>
      </c>
      <c r="F30" s="58">
        <f>IF(F22&gt;0,MIN(F22,MAX(SUM(F$21,F$55,F$59),0))*'Fiscal Model Import'!Q39,0)</f>
        <v>0</v>
      </c>
      <c r="G30" s="58">
        <f>IF(G22&gt;0,MIN(G22,MAX(SUM(G$21,G$55,G$59),0))*'Fiscal Model Import'!R39,0)</f>
        <v>0</v>
      </c>
      <c r="H30" s="58">
        <f>IF(H22&gt;0,MIN(H22,MAX(SUM(H$21,H$55,H$59),0))*'Fiscal Model Import'!S39,0)</f>
        <v>0</v>
      </c>
      <c r="I30" s="58">
        <f>IF(I22&gt;0,MIN(I22,MAX(SUM(I$21,I$55,I$59),0))*'Fiscal Model Import'!T39,0)</f>
        <v>0</v>
      </c>
      <c r="J30" s="58">
        <f>IF(J22&gt;0,MIN(J22,MAX(SUM(J$21,J$55,J$59),0))*'Fiscal Model Import'!U39,0)</f>
        <v>0</v>
      </c>
      <c r="K30" s="58">
        <f>IF(K22&gt;0,MIN(K22,MAX(SUM(K$21,K$55,K$59),0))*'Fiscal Model Import'!V39,0)</f>
        <v>0</v>
      </c>
      <c r="L30" s="58">
        <f>IF(L22&gt;0,MIN(L22,MAX(SUM(L$21,L$55,L$59),0))*'Fiscal Model Import'!W39,0)</f>
        <v>0</v>
      </c>
      <c r="M30" s="58">
        <f>IF(M22&gt;0,MIN(M22,MAX(SUM(M$21,M$55,M$59),0))*'Fiscal Model Import'!X39,0)</f>
        <v>0</v>
      </c>
      <c r="N30" s="58">
        <f>IF(N22&gt;0,MIN(N22,MAX(SUM(N$21,N$55,N$59),0))*'Fiscal Model Import'!Y39,0)</f>
        <v>0</v>
      </c>
      <c r="O30" s="58">
        <f>IF(O22&gt;0,MIN(O22,MAX(SUM(O$21,O$55,O$59),0))*'Fiscal Model Import'!Z39,0)</f>
        <v>0</v>
      </c>
      <c r="P30" s="58">
        <f>IF(P22&gt;0,MIN(P22,MAX(SUM(P$21,P$55,P$59),0))*'Fiscal Model Import'!AA39,0)</f>
        <v>0</v>
      </c>
      <c r="Q30" s="58">
        <f>IF(Q22&gt;0,MIN(Q22,MAX(SUM(Q$21,Q$55,Q$59),0))*'Fiscal Model Import'!AB39,0)</f>
        <v>0</v>
      </c>
      <c r="R30" s="58">
        <f>IF(R22&gt;0,MIN(R22,MAX(SUM(R$21,R$55,R$59),0))*'Fiscal Model Import'!AC39,0)</f>
        <v>0</v>
      </c>
      <c r="S30" s="58">
        <f>IF(S22&gt;0,MIN(S22,MAX(SUM(S$21,S$55,S$59),0))*'Fiscal Model Import'!AD39,0)</f>
        <v>0</v>
      </c>
      <c r="T30" s="58">
        <f>IF(T22&gt;0,MIN(T22,MAX(SUM(T$21,T$55,T$59),0))*'Fiscal Model Import'!AE39,0)</f>
        <v>0</v>
      </c>
      <c r="U30" s="58">
        <f>IF(U22&gt;0,MIN(U22,MAX(SUM(U$21,U$55,U$59),0))*'Fiscal Model Import'!AF39,0)</f>
        <v>0</v>
      </c>
      <c r="V30" s="58">
        <f>IF(V22&gt;0,MIN(V22,MAX(SUM(V$21,V$55,V$59),0))*'Fiscal Model Import'!AG39,0)</f>
        <v>0</v>
      </c>
      <c r="W30" s="58">
        <f>IF(W22&gt;0,MIN(W22,MAX(SUM(W$21,W$55,W$59),0))*'Fiscal Model Import'!AH39,0)</f>
        <v>0</v>
      </c>
      <c r="X30" s="58">
        <f>IF(X22&gt;0,MIN(X22,MAX(SUM(X$21,X$55,X$59),0))*'Fiscal Model Import'!AI39,0)</f>
        <v>0</v>
      </c>
      <c r="Y30" s="58">
        <f>IF(Y22&gt;0,MIN(Y22,MAX(SUM(Y$21,Y$55,Y$59),0))*'Fiscal Model Import'!AJ39,0)</f>
        <v>0</v>
      </c>
      <c r="Z30" s="58">
        <f>IF(Z22&gt;0,MIN(Z22,MAX(SUM(Z$21,Z$55,Z$59),0))*'Fiscal Model Import'!AK39,0)</f>
        <v>0</v>
      </c>
      <c r="AA30" s="58">
        <f>IF(AA22&gt;0,MIN(AA22,MAX(SUM(AA$21,AA$55,AA$59),0))*'Fiscal Model Import'!AL39,0)</f>
        <v>0</v>
      </c>
    </row>
    <row r="31" spans="1:27" ht="26.25" x14ac:dyDescent="0.25">
      <c r="A31" s="7" t="s">
        <v>209</v>
      </c>
      <c r="B31" s="35" t="s">
        <v>212</v>
      </c>
      <c r="C31" s="29"/>
      <c r="D31" s="58">
        <f>IF(D22&gt;0,MIN(D22,MAX(SUM(D$21,D$55,D$59),0))*'Fiscal Model Import'!O40,0)</f>
        <v>0</v>
      </c>
      <c r="E31" s="58">
        <f>IF(E22&gt;0,MIN(E22,MAX(SUM(E$21,E$55,E$59),0))*'Fiscal Model Import'!P40,0)</f>
        <v>0</v>
      </c>
      <c r="F31" s="58">
        <f>IF(F22&gt;0,MIN(F22,MAX(SUM(F$21,F$55,F$59),0))*'Fiscal Model Import'!Q40,0)</f>
        <v>0</v>
      </c>
      <c r="G31" s="58">
        <f>IF(G22&gt;0,MIN(G22,MAX(SUM(G$21,G$55,G$59),0))*'Fiscal Model Import'!R40,0)</f>
        <v>0</v>
      </c>
      <c r="H31" s="58">
        <f>IF(H22&gt;0,MIN(H22,MAX(SUM(H$21,H$55,H$59),0))*'Fiscal Model Import'!S40,0)</f>
        <v>0</v>
      </c>
      <c r="I31" s="58">
        <f>IF(I22&gt;0,MIN(I22,MAX(SUM(I$21,I$55,I$59),0))*'Fiscal Model Import'!T40,0)</f>
        <v>0</v>
      </c>
      <c r="J31" s="58">
        <f>IF(J22&gt;0,MIN(J22,MAX(SUM(J$21,J$55,J$59),0))*'Fiscal Model Import'!U40,0)</f>
        <v>0</v>
      </c>
      <c r="K31" s="58">
        <f>IF(K22&gt;0,MIN(K22,MAX(SUM(K$21,K$55,K$59),0))*'Fiscal Model Import'!V40,0)</f>
        <v>0</v>
      </c>
      <c r="L31" s="58">
        <f>IF(L22&gt;0,MIN(L22,MAX(SUM(L$21,L$55,L$59),0))*'Fiscal Model Import'!W40,0)</f>
        <v>0</v>
      </c>
      <c r="M31" s="58">
        <f>IF(M22&gt;0,MIN(M22,MAX(SUM(M$21,M$55,M$59),0))*'Fiscal Model Import'!X40,0)</f>
        <v>0</v>
      </c>
      <c r="N31" s="58">
        <f>IF(N22&gt;0,MIN(N22,MAX(SUM(N$21,N$55,N$59),0))*'Fiscal Model Import'!Y40,0)</f>
        <v>0</v>
      </c>
      <c r="O31" s="58">
        <f>IF(O22&gt;0,MIN(O22,MAX(SUM(O$21,O$55,O$59),0))*'Fiscal Model Import'!Z40,0)</f>
        <v>0</v>
      </c>
      <c r="P31" s="58">
        <f>IF(P22&gt;0,MIN(P22,MAX(SUM(P$21,P$55,P$59),0))*'Fiscal Model Import'!AA40,0)</f>
        <v>0</v>
      </c>
      <c r="Q31" s="58">
        <f>IF(Q22&gt;0,MIN(Q22,MAX(SUM(Q$21,Q$55,Q$59),0))*'Fiscal Model Import'!AB40,0)</f>
        <v>0</v>
      </c>
      <c r="R31" s="58">
        <f>IF(R22&gt;0,MIN(R22,MAX(SUM(R$21,R$55,R$59),0))*'Fiscal Model Import'!AC40,0)</f>
        <v>0</v>
      </c>
      <c r="S31" s="58">
        <f>IF(S22&gt;0,MIN(S22,MAX(SUM(S$21,S$55,S$59),0))*'Fiscal Model Import'!AD40,0)</f>
        <v>0</v>
      </c>
      <c r="T31" s="58">
        <f>IF(T22&gt;0,MIN(T22,MAX(SUM(T$21,T$55,T$59),0))*'Fiscal Model Import'!AE40,0)</f>
        <v>0</v>
      </c>
      <c r="U31" s="58">
        <f>IF(U22&gt;0,MIN(U22,MAX(SUM(U$21,U$55,U$59),0))*'Fiscal Model Import'!AF40,0)</f>
        <v>0</v>
      </c>
      <c r="V31" s="58">
        <f>IF(V22&gt;0,MIN(V22,MAX(SUM(V$21,V$55,V$59),0))*'Fiscal Model Import'!AG40,0)</f>
        <v>0</v>
      </c>
      <c r="W31" s="58">
        <f>IF(W22&gt;0,MIN(W22,MAX(SUM(W$21,W$55,W$59),0))*'Fiscal Model Import'!AH40,0)</f>
        <v>0</v>
      </c>
      <c r="X31" s="58">
        <f>IF(X22&gt;0,MIN(X22,MAX(SUM(X$21,X$55,X$59),0))*'Fiscal Model Import'!AI40,0)</f>
        <v>0</v>
      </c>
      <c r="Y31" s="58">
        <f>IF(Y22&gt;0,MIN(Y22,MAX(SUM(Y$21,Y$55,Y$59),0))*'Fiscal Model Import'!AJ40,0)</f>
        <v>0</v>
      </c>
      <c r="Z31" s="58">
        <f>IF(Z22&gt;0,MIN(Z22,MAX(SUM(Z$21,Z$55,Z$59),0))*'Fiscal Model Import'!AK40,0)</f>
        <v>0</v>
      </c>
      <c r="AA31" s="58">
        <f>IF(AA22&gt;0,MIN(AA22,MAX(SUM(AA$21,AA$55,AA$59),0))*'Fiscal Model Import'!AL40,0)</f>
        <v>0</v>
      </c>
    </row>
    <row r="32" spans="1:27" ht="26.25" x14ac:dyDescent="0.25">
      <c r="A32" s="7" t="s">
        <v>106</v>
      </c>
      <c r="B32" s="35" t="s">
        <v>108</v>
      </c>
      <c r="C32" s="29"/>
      <c r="D32" s="58">
        <f>IF(D22&gt;0,MIN(D22,MAX(0,SUM(D21,D55,D59)))*'Fiscal Model Import'!O36,0)</f>
        <v>0</v>
      </c>
      <c r="E32" s="58">
        <f>IF(E22&gt;0,MIN(E22,MAX(0,SUM(E21,E55,E59)))*'Fiscal Model Import'!P36,0)</f>
        <v>0</v>
      </c>
      <c r="F32" s="58">
        <f>IF(F22&gt;0,MIN(F22,MAX(0,SUM(F21,F55,F59)))*'Fiscal Model Import'!Q36,0)</f>
        <v>0</v>
      </c>
      <c r="G32" s="58">
        <f>IF(G22&gt;0,MIN(G22,MAX(0,SUM(G21,G55,G59)))*'Fiscal Model Import'!R36,0)</f>
        <v>0</v>
      </c>
      <c r="H32" s="58">
        <f>IF(H22&gt;0,MIN(H22,MAX(0,SUM(H21,H55,H59)))*'Fiscal Model Import'!S36,0)</f>
        <v>0</v>
      </c>
      <c r="I32" s="58">
        <f>IF(I22&gt;0,MIN(I22,MAX(0,SUM(I21,I55,I59)))*'Fiscal Model Import'!T36,0)</f>
        <v>0</v>
      </c>
      <c r="J32" s="58">
        <f>IF(J22&gt;0,MIN(J22,MAX(0,SUM(J21,J55,J59)))*'Fiscal Model Import'!U36,0)</f>
        <v>0</v>
      </c>
      <c r="K32" s="58">
        <f>IF(K22&gt;0,MIN(K22,MAX(0,SUM(K21,K55,K59)))*'Fiscal Model Import'!V36,0)</f>
        <v>0</v>
      </c>
      <c r="L32" s="58">
        <f>IF(L22&gt;0,MIN(L22,MAX(0,SUM(L21,L55,L59)))*'Fiscal Model Import'!W36,0)</f>
        <v>0</v>
      </c>
      <c r="M32" s="58">
        <f>IF(M22&gt;0,MIN(M22,MAX(0,SUM(M21,M55,M59)))*'Fiscal Model Import'!X36,0)</f>
        <v>0</v>
      </c>
      <c r="N32" s="58">
        <f>IF(N22&gt;0,MIN(N22,MAX(0,SUM(N21,N55,N59)))*'Fiscal Model Import'!Y36,0)</f>
        <v>0</v>
      </c>
      <c r="O32" s="58">
        <f>IF(O22&gt;0,MIN(O22,MAX(0,SUM(O21,O55,O59)))*'Fiscal Model Import'!Z36,0)</f>
        <v>0</v>
      </c>
      <c r="P32" s="58">
        <f>IF(P22&gt;0,MIN(P22,MAX(0,SUM(P21,P55,P59)))*'Fiscal Model Import'!AA36,0)</f>
        <v>0</v>
      </c>
      <c r="Q32" s="58">
        <f>IF(Q22&gt;0,MIN(Q22,MAX(0,SUM(Q21,Q55,Q59)))*'Fiscal Model Import'!AB36,0)</f>
        <v>0</v>
      </c>
      <c r="R32" s="58">
        <f>IF(R22&gt;0,MIN(R22,MAX(0,SUM(R21,R55,R59)))*'Fiscal Model Import'!AC36,0)</f>
        <v>0</v>
      </c>
      <c r="S32" s="58">
        <f>IF(S22&gt;0,MIN(S22,MAX(0,SUM(S21,S55,S59)))*'Fiscal Model Import'!AD36,0)</f>
        <v>0</v>
      </c>
      <c r="T32" s="58">
        <f>IF(T22&gt;0,MIN(T22,MAX(0,SUM(T21,T55,T59)))*'Fiscal Model Import'!AE36,0)</f>
        <v>0</v>
      </c>
      <c r="U32" s="58">
        <f>IF(U22&gt;0,MIN(U22,MAX(0,SUM(U21,U55,U59)))*'Fiscal Model Import'!AF36,0)</f>
        <v>0</v>
      </c>
      <c r="V32" s="58">
        <f>IF(V22&gt;0,MIN(V22,MAX(0,SUM(V21,V55,V59)))*'Fiscal Model Import'!AG36,0)</f>
        <v>0</v>
      </c>
      <c r="W32" s="58">
        <f>IF(W22&gt;0,MIN(W22,MAX(0,SUM(W21,W55,W59)))*'Fiscal Model Import'!AH36,0)</f>
        <v>0</v>
      </c>
      <c r="X32" s="58">
        <f>IF(X22&gt;0,MIN(X22,MAX(0,SUM(X21,X55,X59)))*'Fiscal Model Import'!AI36,0)</f>
        <v>0</v>
      </c>
      <c r="Y32" s="58">
        <f>IF(Y22&gt;0,MIN(Y22,MAX(0,SUM(Y21,Y55,Y59)))*'Fiscal Model Import'!AJ36,0)</f>
        <v>0</v>
      </c>
      <c r="Z32" s="58">
        <f>IF(Z22&gt;0,MIN(Z22,MAX(0,SUM(Z21,Z55,Z59)))*'Fiscal Model Import'!AK36,0)</f>
        <v>0</v>
      </c>
      <c r="AA32" s="58">
        <f>IF(AA22&gt;0,MIN(AA22,MAX(0,SUM(AA21,AA55,AA59)))*'Fiscal Model Import'!AL36,0)</f>
        <v>0</v>
      </c>
    </row>
    <row r="33" spans="1:27" x14ac:dyDescent="0.25">
      <c r="A33" s="7" t="s">
        <v>260</v>
      </c>
      <c r="B33" s="35" t="s">
        <v>262</v>
      </c>
      <c r="C33" s="29"/>
      <c r="D33" s="58">
        <f>D25</f>
        <v>0</v>
      </c>
      <c r="E33" s="58">
        <f t="shared" ref="E33:W33" si="10">E25</f>
        <v>0</v>
      </c>
      <c r="F33" s="58">
        <f>F25</f>
        <v>0</v>
      </c>
      <c r="G33" s="58">
        <f t="shared" si="10"/>
        <v>0</v>
      </c>
      <c r="H33" s="58">
        <f t="shared" si="10"/>
        <v>0</v>
      </c>
      <c r="I33" s="58">
        <f t="shared" si="10"/>
        <v>0</v>
      </c>
      <c r="J33" s="58">
        <f t="shared" si="10"/>
        <v>0</v>
      </c>
      <c r="K33" s="58">
        <f t="shared" si="10"/>
        <v>0</v>
      </c>
      <c r="L33" s="58">
        <f>L25</f>
        <v>0</v>
      </c>
      <c r="M33" s="58">
        <f t="shared" si="10"/>
        <v>0</v>
      </c>
      <c r="N33" s="58">
        <f t="shared" si="10"/>
        <v>0</v>
      </c>
      <c r="O33" s="58">
        <f t="shared" si="10"/>
        <v>0</v>
      </c>
      <c r="P33" s="58">
        <f t="shared" si="10"/>
        <v>0</v>
      </c>
      <c r="Q33" s="58">
        <f t="shared" si="10"/>
        <v>0</v>
      </c>
      <c r="R33" s="58">
        <f t="shared" si="10"/>
        <v>0</v>
      </c>
      <c r="S33" s="58">
        <f t="shared" si="10"/>
        <v>0</v>
      </c>
      <c r="T33" s="58">
        <f t="shared" si="10"/>
        <v>0</v>
      </c>
      <c r="U33" s="58">
        <f t="shared" si="10"/>
        <v>0</v>
      </c>
      <c r="V33" s="58">
        <f t="shared" si="10"/>
        <v>0</v>
      </c>
      <c r="W33" s="58">
        <f t="shared" si="10"/>
        <v>0</v>
      </c>
      <c r="X33" s="58">
        <f t="shared" ref="X33:AA33" si="11">X25</f>
        <v>0</v>
      </c>
      <c r="Y33" s="58">
        <f t="shared" si="11"/>
        <v>0</v>
      </c>
      <c r="Z33" s="58">
        <f t="shared" si="11"/>
        <v>0</v>
      </c>
      <c r="AA33" s="58">
        <f t="shared" si="11"/>
        <v>0</v>
      </c>
    </row>
    <row r="34" spans="1:27" x14ac:dyDescent="0.25">
      <c r="A34" s="7"/>
      <c r="B34" s="35"/>
      <c r="C34" s="29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</row>
    <row r="35" spans="1:27" x14ac:dyDescent="0.25">
      <c r="A35" s="7"/>
      <c r="B35" s="35"/>
      <c r="C35" s="29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</row>
    <row r="36" spans="1:27" x14ac:dyDescent="0.25">
      <c r="A36" s="25" t="s">
        <v>263</v>
      </c>
      <c r="B36" s="35" t="s">
        <v>264</v>
      </c>
      <c r="C36" s="29"/>
      <c r="D36" s="9">
        <f>SUM(D33:D35)</f>
        <v>0</v>
      </c>
      <c r="E36" s="9">
        <f>SUM(E33:E35)</f>
        <v>0</v>
      </c>
      <c r="F36" s="9">
        <f t="shared" ref="F36:W36" si="12">SUM(F33:F35)</f>
        <v>0</v>
      </c>
      <c r="G36" s="9">
        <f t="shared" si="12"/>
        <v>0</v>
      </c>
      <c r="H36" s="9">
        <f t="shared" si="12"/>
        <v>0</v>
      </c>
      <c r="I36" s="9">
        <f t="shared" si="12"/>
        <v>0</v>
      </c>
      <c r="J36" s="9">
        <f t="shared" si="12"/>
        <v>0</v>
      </c>
      <c r="K36" s="9">
        <f t="shared" si="12"/>
        <v>0</v>
      </c>
      <c r="L36" s="9">
        <f>SUM(L33:L35)</f>
        <v>0</v>
      </c>
      <c r="M36" s="9">
        <f t="shared" si="12"/>
        <v>0</v>
      </c>
      <c r="N36" s="9">
        <f t="shared" si="12"/>
        <v>0</v>
      </c>
      <c r="O36" s="9">
        <f t="shared" si="12"/>
        <v>0</v>
      </c>
      <c r="P36" s="9">
        <f t="shared" si="12"/>
        <v>0</v>
      </c>
      <c r="Q36" s="9">
        <f t="shared" si="12"/>
        <v>0</v>
      </c>
      <c r="R36" s="9">
        <f t="shared" si="12"/>
        <v>0</v>
      </c>
      <c r="S36" s="9">
        <f t="shared" si="12"/>
        <v>0</v>
      </c>
      <c r="T36" s="9">
        <f t="shared" si="12"/>
        <v>0</v>
      </c>
      <c r="U36" s="9">
        <f t="shared" si="12"/>
        <v>0</v>
      </c>
      <c r="V36" s="9">
        <f t="shared" si="12"/>
        <v>0</v>
      </c>
      <c r="W36" s="9">
        <f t="shared" si="12"/>
        <v>0</v>
      </c>
      <c r="X36" s="9">
        <f t="shared" ref="X36:AA36" si="13">SUM(X33:X35)</f>
        <v>0</v>
      </c>
      <c r="Y36" s="9">
        <f t="shared" si="13"/>
        <v>0</v>
      </c>
      <c r="Z36" s="9">
        <f t="shared" si="13"/>
        <v>0</v>
      </c>
      <c r="AA36" s="9">
        <f t="shared" si="13"/>
        <v>0</v>
      </c>
    </row>
    <row r="37" spans="1:27" ht="26.25" x14ac:dyDescent="0.25">
      <c r="A37" s="25" t="s">
        <v>242</v>
      </c>
      <c r="B37" s="35" t="s">
        <v>259</v>
      </c>
      <c r="C37" s="29"/>
      <c r="D37" s="58">
        <f>D29</f>
        <v>0</v>
      </c>
      <c r="E37" s="58">
        <f t="shared" ref="E37:AA37" si="14">IF(AND(E$22&gt;0,E$21+E$55+E$59&gt;0),D37+E29-E56,E$22*D46)</f>
        <v>0</v>
      </c>
      <c r="F37" s="58">
        <f t="shared" si="14"/>
        <v>0</v>
      </c>
      <c r="G37" s="58">
        <f t="shared" si="14"/>
        <v>0</v>
      </c>
      <c r="H37" s="58">
        <f t="shared" si="14"/>
        <v>0</v>
      </c>
      <c r="I37" s="58">
        <f t="shared" si="14"/>
        <v>0</v>
      </c>
      <c r="J37" s="58">
        <f t="shared" si="14"/>
        <v>0</v>
      </c>
      <c r="K37" s="58">
        <f t="shared" si="14"/>
        <v>0</v>
      </c>
      <c r="L37" s="58">
        <f>IF(AND(L$22&gt;0,L$21+L$55+L$59&gt;0),K37+L29-L56,L$22*K46)</f>
        <v>0</v>
      </c>
      <c r="M37" s="58">
        <f t="shared" si="14"/>
        <v>0</v>
      </c>
      <c r="N37" s="58">
        <f t="shared" si="14"/>
        <v>0</v>
      </c>
      <c r="O37" s="58">
        <f t="shared" si="14"/>
        <v>0</v>
      </c>
      <c r="P37" s="58">
        <f>IF(AND(P$22&gt;0,P$21+P$55+P$59&gt;0),O37+P29-P56,P$22*O46)</f>
        <v>0</v>
      </c>
      <c r="Q37" s="58">
        <f t="shared" si="14"/>
        <v>0</v>
      </c>
      <c r="R37" s="58">
        <f t="shared" si="14"/>
        <v>0</v>
      </c>
      <c r="S37" s="58">
        <f t="shared" si="14"/>
        <v>0</v>
      </c>
      <c r="T37" s="58">
        <f t="shared" si="14"/>
        <v>0</v>
      </c>
      <c r="U37" s="58">
        <f t="shared" si="14"/>
        <v>0</v>
      </c>
      <c r="V37" s="58">
        <f t="shared" si="14"/>
        <v>0</v>
      </c>
      <c r="W37" s="58">
        <f t="shared" si="14"/>
        <v>0</v>
      </c>
      <c r="X37" s="58">
        <f t="shared" si="14"/>
        <v>0</v>
      </c>
      <c r="Y37" s="58">
        <f t="shared" si="14"/>
        <v>0</v>
      </c>
      <c r="Z37" s="58">
        <f t="shared" si="14"/>
        <v>0</v>
      </c>
      <c r="AA37" s="58">
        <f t="shared" si="14"/>
        <v>0</v>
      </c>
    </row>
    <row r="38" spans="1:27" ht="26.25" x14ac:dyDescent="0.25">
      <c r="A38" s="25" t="s">
        <v>243</v>
      </c>
      <c r="B38" s="35" t="s">
        <v>259</v>
      </c>
      <c r="C38" s="29"/>
      <c r="D38" s="58">
        <f>D30</f>
        <v>0</v>
      </c>
      <c r="E38" s="58">
        <f t="shared" ref="E38:AA38" si="15">IF(AND(E$22&gt;0,E$21+E$55+E$59&gt;0),D38+E30-E57,E$22*D47)</f>
        <v>0</v>
      </c>
      <c r="F38" s="58">
        <f t="shared" si="15"/>
        <v>0</v>
      </c>
      <c r="G38" s="58">
        <f t="shared" si="15"/>
        <v>0</v>
      </c>
      <c r="H38" s="58">
        <f t="shared" si="15"/>
        <v>0</v>
      </c>
      <c r="I38" s="58">
        <f t="shared" si="15"/>
        <v>0</v>
      </c>
      <c r="J38" s="58">
        <f t="shared" si="15"/>
        <v>0</v>
      </c>
      <c r="K38" s="58">
        <f t="shared" si="15"/>
        <v>0</v>
      </c>
      <c r="L38" s="58">
        <f t="shared" si="15"/>
        <v>0</v>
      </c>
      <c r="M38" s="58">
        <f t="shared" si="15"/>
        <v>0</v>
      </c>
      <c r="N38" s="58">
        <f t="shared" si="15"/>
        <v>0</v>
      </c>
      <c r="O38" s="58">
        <f t="shared" si="15"/>
        <v>0</v>
      </c>
      <c r="P38" s="58">
        <f t="shared" si="15"/>
        <v>0</v>
      </c>
      <c r="Q38" s="58">
        <f t="shared" si="15"/>
        <v>0</v>
      </c>
      <c r="R38" s="58">
        <f t="shared" si="15"/>
        <v>0</v>
      </c>
      <c r="S38" s="58">
        <f t="shared" si="15"/>
        <v>0</v>
      </c>
      <c r="T38" s="58">
        <f t="shared" si="15"/>
        <v>0</v>
      </c>
      <c r="U38" s="58">
        <f t="shared" si="15"/>
        <v>0</v>
      </c>
      <c r="V38" s="58">
        <f t="shared" si="15"/>
        <v>0</v>
      </c>
      <c r="W38" s="58">
        <f t="shared" si="15"/>
        <v>0</v>
      </c>
      <c r="X38" s="58">
        <f t="shared" si="15"/>
        <v>0</v>
      </c>
      <c r="Y38" s="58">
        <f t="shared" si="15"/>
        <v>0</v>
      </c>
      <c r="Z38" s="58">
        <f t="shared" si="15"/>
        <v>0</v>
      </c>
      <c r="AA38" s="58">
        <f t="shared" si="15"/>
        <v>0</v>
      </c>
    </row>
    <row r="39" spans="1:27" ht="26.25" x14ac:dyDescent="0.25">
      <c r="A39" s="7" t="s">
        <v>244</v>
      </c>
      <c r="B39" s="35" t="s">
        <v>259</v>
      </c>
      <c r="C39" s="29"/>
      <c r="D39" s="58">
        <f>D31</f>
        <v>0</v>
      </c>
      <c r="E39" s="58">
        <f t="shared" ref="E39:AA39" si="16">IF(AND(E$22&gt;0,E$21+E$55+E$59&gt;0),D39+E31-E58,E$22*D48)</f>
        <v>0</v>
      </c>
      <c r="F39" s="58">
        <f t="shared" si="16"/>
        <v>0</v>
      </c>
      <c r="G39" s="58">
        <f t="shared" si="16"/>
        <v>0</v>
      </c>
      <c r="H39" s="58">
        <f t="shared" si="16"/>
        <v>0</v>
      </c>
      <c r="I39" s="58">
        <f t="shared" si="16"/>
        <v>0</v>
      </c>
      <c r="J39" s="58">
        <f t="shared" si="16"/>
        <v>0</v>
      </c>
      <c r="K39" s="58">
        <f t="shared" si="16"/>
        <v>0</v>
      </c>
      <c r="L39" s="58">
        <f t="shared" si="16"/>
        <v>0</v>
      </c>
      <c r="M39" s="58">
        <f t="shared" si="16"/>
        <v>0</v>
      </c>
      <c r="N39" s="58">
        <f t="shared" si="16"/>
        <v>0</v>
      </c>
      <c r="O39" s="58">
        <f t="shared" si="16"/>
        <v>0</v>
      </c>
      <c r="P39" s="58">
        <f t="shared" si="16"/>
        <v>0</v>
      </c>
      <c r="Q39" s="58">
        <f t="shared" si="16"/>
        <v>0</v>
      </c>
      <c r="R39" s="58">
        <f t="shared" si="16"/>
        <v>0</v>
      </c>
      <c r="S39" s="58">
        <f t="shared" si="16"/>
        <v>0</v>
      </c>
      <c r="T39" s="58">
        <f t="shared" si="16"/>
        <v>0</v>
      </c>
      <c r="U39" s="58">
        <f t="shared" si="16"/>
        <v>0</v>
      </c>
      <c r="V39" s="58">
        <f t="shared" si="16"/>
        <v>0</v>
      </c>
      <c r="W39" s="58">
        <f t="shared" si="16"/>
        <v>0</v>
      </c>
      <c r="X39" s="58">
        <f t="shared" si="16"/>
        <v>0</v>
      </c>
      <c r="Y39" s="58">
        <f t="shared" si="16"/>
        <v>0</v>
      </c>
      <c r="Z39" s="58">
        <f t="shared" si="16"/>
        <v>0</v>
      </c>
      <c r="AA39" s="58">
        <f t="shared" si="16"/>
        <v>0</v>
      </c>
    </row>
    <row r="40" spans="1:27" x14ac:dyDescent="0.25">
      <c r="A40" s="7" t="s">
        <v>238</v>
      </c>
      <c r="B40" s="35" t="s">
        <v>232</v>
      </c>
      <c r="C40" s="29"/>
      <c r="D40" s="58">
        <f>SUM(D37:D39)</f>
        <v>0</v>
      </c>
      <c r="E40" s="58">
        <f t="shared" ref="E40:W40" si="17">SUM(E37:E39)</f>
        <v>0</v>
      </c>
      <c r="F40" s="58">
        <f t="shared" si="17"/>
        <v>0</v>
      </c>
      <c r="G40" s="58">
        <f t="shared" si="17"/>
        <v>0</v>
      </c>
      <c r="H40" s="58">
        <f t="shared" si="17"/>
        <v>0</v>
      </c>
      <c r="I40" s="58">
        <f t="shared" si="17"/>
        <v>0</v>
      </c>
      <c r="J40" s="58">
        <f t="shared" si="17"/>
        <v>0</v>
      </c>
      <c r="K40" s="58">
        <f t="shared" si="17"/>
        <v>0</v>
      </c>
      <c r="L40" s="58">
        <f t="shared" si="17"/>
        <v>0</v>
      </c>
      <c r="M40" s="58">
        <f t="shared" si="17"/>
        <v>0</v>
      </c>
      <c r="N40" s="58">
        <f t="shared" si="17"/>
        <v>0</v>
      </c>
      <c r="O40" s="58">
        <f t="shared" si="17"/>
        <v>0</v>
      </c>
      <c r="P40" s="58">
        <f t="shared" si="17"/>
        <v>0</v>
      </c>
      <c r="Q40" s="58">
        <f t="shared" si="17"/>
        <v>0</v>
      </c>
      <c r="R40" s="58">
        <f t="shared" si="17"/>
        <v>0</v>
      </c>
      <c r="S40" s="58">
        <f t="shared" si="17"/>
        <v>0</v>
      </c>
      <c r="T40" s="58">
        <f t="shared" si="17"/>
        <v>0</v>
      </c>
      <c r="U40" s="58">
        <f t="shared" si="17"/>
        <v>0</v>
      </c>
      <c r="V40" s="58">
        <f t="shared" si="17"/>
        <v>0</v>
      </c>
      <c r="W40" s="58">
        <f t="shared" si="17"/>
        <v>0</v>
      </c>
      <c r="X40" s="58">
        <f>SUM(X37:X39)</f>
        <v>0</v>
      </c>
      <c r="Y40" s="58">
        <f t="shared" ref="Y40:AA40" si="18">SUM(Y37:Y39)</f>
        <v>0</v>
      </c>
      <c r="Z40" s="58">
        <f t="shared" si="18"/>
        <v>0</v>
      </c>
      <c r="AA40" s="58">
        <f t="shared" si="18"/>
        <v>0</v>
      </c>
    </row>
    <row r="41" spans="1:27" ht="26.25" x14ac:dyDescent="0.25">
      <c r="A41" s="7" t="s">
        <v>50</v>
      </c>
      <c r="B41" s="35" t="s">
        <v>110</v>
      </c>
      <c r="C41" s="29"/>
      <c r="D41" s="58">
        <f>D32</f>
        <v>0</v>
      </c>
      <c r="E41" s="58">
        <f t="shared" ref="E41:AA41" si="19">IF(AND(E$22&gt;0,E$21+E$55+E$59&gt;0),D41+E32,E$22*D49)</f>
        <v>0</v>
      </c>
      <c r="F41" s="58">
        <f t="shared" si="19"/>
        <v>0</v>
      </c>
      <c r="G41" s="58">
        <f t="shared" si="19"/>
        <v>0</v>
      </c>
      <c r="H41" s="58">
        <f t="shared" si="19"/>
        <v>0</v>
      </c>
      <c r="I41" s="58">
        <f t="shared" si="19"/>
        <v>0</v>
      </c>
      <c r="J41" s="58">
        <f t="shared" si="19"/>
        <v>0</v>
      </c>
      <c r="K41" s="58">
        <f t="shared" si="19"/>
        <v>0</v>
      </c>
      <c r="L41" s="58">
        <f t="shared" si="19"/>
        <v>0</v>
      </c>
      <c r="M41" s="58">
        <f t="shared" si="19"/>
        <v>0</v>
      </c>
      <c r="N41" s="58">
        <f t="shared" si="19"/>
        <v>0</v>
      </c>
      <c r="O41" s="58">
        <f t="shared" si="19"/>
        <v>0</v>
      </c>
      <c r="P41" s="58">
        <f t="shared" si="19"/>
        <v>0</v>
      </c>
      <c r="Q41" s="58">
        <f t="shared" si="19"/>
        <v>0</v>
      </c>
      <c r="R41" s="58">
        <f t="shared" si="19"/>
        <v>0</v>
      </c>
      <c r="S41" s="58">
        <f t="shared" si="19"/>
        <v>0</v>
      </c>
      <c r="T41" s="58">
        <f t="shared" si="19"/>
        <v>0</v>
      </c>
      <c r="U41" s="58">
        <f t="shared" si="19"/>
        <v>0</v>
      </c>
      <c r="V41" s="58">
        <f t="shared" si="19"/>
        <v>0</v>
      </c>
      <c r="W41" s="58">
        <f t="shared" si="19"/>
        <v>0</v>
      </c>
      <c r="X41" s="58">
        <f t="shared" si="19"/>
        <v>0</v>
      </c>
      <c r="Y41" s="58">
        <f t="shared" si="19"/>
        <v>0</v>
      </c>
      <c r="Z41" s="58">
        <f t="shared" si="19"/>
        <v>0</v>
      </c>
      <c r="AA41" s="58">
        <f t="shared" si="19"/>
        <v>0</v>
      </c>
    </row>
    <row r="42" spans="1:27" x14ac:dyDescent="0.25">
      <c r="A42" s="7" t="s">
        <v>270</v>
      </c>
      <c r="B42" s="35" t="s">
        <v>271</v>
      </c>
      <c r="C42" s="29"/>
      <c r="D42" s="56">
        <f>IF(D$22=0,0,D33/D$22)</f>
        <v>0</v>
      </c>
      <c r="E42" s="56">
        <f t="shared" ref="E42:W42" si="20">IF(E$22=0,0,E33/E$22)</f>
        <v>0</v>
      </c>
      <c r="F42" s="56">
        <f t="shared" si="20"/>
        <v>0</v>
      </c>
      <c r="G42" s="56">
        <f t="shared" si="20"/>
        <v>0</v>
      </c>
      <c r="H42" s="56">
        <f t="shared" si="20"/>
        <v>0</v>
      </c>
      <c r="I42" s="56">
        <f t="shared" si="20"/>
        <v>0</v>
      </c>
      <c r="J42" s="56">
        <f t="shared" si="20"/>
        <v>0</v>
      </c>
      <c r="K42" s="56">
        <f t="shared" si="20"/>
        <v>0</v>
      </c>
      <c r="L42" s="56">
        <f t="shared" si="20"/>
        <v>0</v>
      </c>
      <c r="M42" s="56">
        <f t="shared" si="20"/>
        <v>0</v>
      </c>
      <c r="N42" s="56">
        <f t="shared" si="20"/>
        <v>0</v>
      </c>
      <c r="O42" s="56">
        <f t="shared" si="20"/>
        <v>0</v>
      </c>
      <c r="P42" s="56">
        <f t="shared" si="20"/>
        <v>0</v>
      </c>
      <c r="Q42" s="56">
        <f t="shared" si="20"/>
        <v>0</v>
      </c>
      <c r="R42" s="56">
        <f t="shared" si="20"/>
        <v>0</v>
      </c>
      <c r="S42" s="56">
        <f t="shared" si="20"/>
        <v>0</v>
      </c>
      <c r="T42" s="56">
        <f t="shared" si="20"/>
        <v>0</v>
      </c>
      <c r="U42" s="56">
        <f t="shared" si="20"/>
        <v>0</v>
      </c>
      <c r="V42" s="56">
        <f t="shared" si="20"/>
        <v>0</v>
      </c>
      <c r="W42" s="56">
        <f t="shared" si="20"/>
        <v>0</v>
      </c>
      <c r="X42" s="56">
        <f t="shared" ref="X42:AA42" si="21">IF(X$22=0,0,X33/X$22)</f>
        <v>0</v>
      </c>
      <c r="Y42" s="56">
        <f t="shared" si="21"/>
        <v>0</v>
      </c>
      <c r="Z42" s="56">
        <f t="shared" si="21"/>
        <v>0</v>
      </c>
      <c r="AA42" s="56">
        <f t="shared" si="21"/>
        <v>0</v>
      </c>
    </row>
    <row r="43" spans="1:27" x14ac:dyDescent="0.25">
      <c r="A43" s="7"/>
      <c r="B43" s="35"/>
      <c r="C43" s="29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</row>
    <row r="44" spans="1:27" x14ac:dyDescent="0.25">
      <c r="A44" s="7"/>
      <c r="B44" s="35"/>
      <c r="C44" s="29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</row>
    <row r="45" spans="1:27" x14ac:dyDescent="0.25">
      <c r="A45" s="7"/>
      <c r="B45" s="35"/>
      <c r="C45" s="29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</row>
    <row r="46" spans="1:27" x14ac:dyDescent="0.25">
      <c r="A46" s="7" t="s">
        <v>213</v>
      </c>
      <c r="B46" s="35" t="s">
        <v>217</v>
      </c>
      <c r="C46" s="29"/>
      <c r="D46" s="56">
        <f>IF(D$22=0,0,D37/D$22)</f>
        <v>0</v>
      </c>
      <c r="E46" s="56">
        <f t="shared" ref="E46:W46" si="22">IF(E$22=0,0,E37/E$22)</f>
        <v>0</v>
      </c>
      <c r="F46" s="56">
        <f t="shared" si="22"/>
        <v>0</v>
      </c>
      <c r="G46" s="56">
        <f t="shared" si="22"/>
        <v>0</v>
      </c>
      <c r="H46" s="56">
        <f t="shared" si="22"/>
        <v>0</v>
      </c>
      <c r="I46" s="56">
        <f t="shared" si="22"/>
        <v>0</v>
      </c>
      <c r="J46" s="56">
        <f t="shared" si="22"/>
        <v>0</v>
      </c>
      <c r="K46" s="56">
        <f t="shared" si="22"/>
        <v>0</v>
      </c>
      <c r="L46" s="56">
        <f t="shared" si="22"/>
        <v>0</v>
      </c>
      <c r="M46" s="56">
        <f t="shared" si="22"/>
        <v>0</v>
      </c>
      <c r="N46" s="56">
        <f t="shared" si="22"/>
        <v>0</v>
      </c>
      <c r="O46" s="56">
        <f t="shared" si="22"/>
        <v>0</v>
      </c>
      <c r="P46" s="56">
        <f t="shared" si="22"/>
        <v>0</v>
      </c>
      <c r="Q46" s="56">
        <f t="shared" si="22"/>
        <v>0</v>
      </c>
      <c r="R46" s="56">
        <f t="shared" si="22"/>
        <v>0</v>
      </c>
      <c r="S46" s="56">
        <f t="shared" si="22"/>
        <v>0</v>
      </c>
      <c r="T46" s="56">
        <f t="shared" si="22"/>
        <v>0</v>
      </c>
      <c r="U46" s="56">
        <f t="shared" si="22"/>
        <v>0</v>
      </c>
      <c r="V46" s="56">
        <f t="shared" si="22"/>
        <v>0</v>
      </c>
      <c r="W46" s="56">
        <f t="shared" si="22"/>
        <v>0</v>
      </c>
      <c r="X46" s="56">
        <f t="shared" ref="X46:AA46" si="23">IF(X$22=0,0,X37/X$22)</f>
        <v>0</v>
      </c>
      <c r="Y46" s="56">
        <f t="shared" si="23"/>
        <v>0</v>
      </c>
      <c r="Z46" s="56">
        <f t="shared" si="23"/>
        <v>0</v>
      </c>
      <c r="AA46" s="56">
        <f t="shared" si="23"/>
        <v>0</v>
      </c>
    </row>
    <row r="47" spans="1:27" x14ac:dyDescent="0.25">
      <c r="A47" s="7" t="s">
        <v>214</v>
      </c>
      <c r="B47" s="35" t="s">
        <v>218</v>
      </c>
      <c r="C47" s="29"/>
      <c r="D47" s="56">
        <f>IF(D$22=0,0,D38/D$22)</f>
        <v>0</v>
      </c>
      <c r="E47" s="56">
        <f t="shared" ref="E47:W47" si="24">IF(E$22=0,0,E38/E$22)</f>
        <v>0</v>
      </c>
      <c r="F47" s="56">
        <f t="shared" si="24"/>
        <v>0</v>
      </c>
      <c r="G47" s="56">
        <f t="shared" si="24"/>
        <v>0</v>
      </c>
      <c r="H47" s="56">
        <f t="shared" si="24"/>
        <v>0</v>
      </c>
      <c r="I47" s="56">
        <f t="shared" si="24"/>
        <v>0</v>
      </c>
      <c r="J47" s="56">
        <f t="shared" si="24"/>
        <v>0</v>
      </c>
      <c r="K47" s="56">
        <f t="shared" si="24"/>
        <v>0</v>
      </c>
      <c r="L47" s="56">
        <f t="shared" si="24"/>
        <v>0</v>
      </c>
      <c r="M47" s="56">
        <f t="shared" si="24"/>
        <v>0</v>
      </c>
      <c r="N47" s="56">
        <f t="shared" si="24"/>
        <v>0</v>
      </c>
      <c r="O47" s="56">
        <f t="shared" si="24"/>
        <v>0</v>
      </c>
      <c r="P47" s="56">
        <f t="shared" si="24"/>
        <v>0</v>
      </c>
      <c r="Q47" s="56">
        <f t="shared" si="24"/>
        <v>0</v>
      </c>
      <c r="R47" s="56">
        <f t="shared" si="24"/>
        <v>0</v>
      </c>
      <c r="S47" s="56">
        <f t="shared" si="24"/>
        <v>0</v>
      </c>
      <c r="T47" s="56">
        <f t="shared" si="24"/>
        <v>0</v>
      </c>
      <c r="U47" s="56">
        <f t="shared" si="24"/>
        <v>0</v>
      </c>
      <c r="V47" s="56">
        <f t="shared" si="24"/>
        <v>0</v>
      </c>
      <c r="W47" s="56">
        <f t="shared" si="24"/>
        <v>0</v>
      </c>
      <c r="X47" s="56">
        <f t="shared" ref="X47:AA47" si="25">IF(X$22=0,0,X38/X$22)</f>
        <v>0</v>
      </c>
      <c r="Y47" s="56">
        <f t="shared" si="25"/>
        <v>0</v>
      </c>
      <c r="Z47" s="56">
        <f t="shared" si="25"/>
        <v>0</v>
      </c>
      <c r="AA47" s="56">
        <f t="shared" si="25"/>
        <v>0</v>
      </c>
    </row>
    <row r="48" spans="1:27" x14ac:dyDescent="0.25">
      <c r="A48" s="7" t="s">
        <v>215</v>
      </c>
      <c r="B48" s="35" t="s">
        <v>216</v>
      </c>
      <c r="C48" s="29"/>
      <c r="D48" s="56">
        <f>IF(D$22=0,0,D39/D$22)</f>
        <v>0</v>
      </c>
      <c r="E48" s="56">
        <f t="shared" ref="E48:W48" si="26">IF(E$22=0,0,E39/E$22)</f>
        <v>0</v>
      </c>
      <c r="F48" s="56">
        <f t="shared" si="26"/>
        <v>0</v>
      </c>
      <c r="G48" s="56">
        <f t="shared" si="26"/>
        <v>0</v>
      </c>
      <c r="H48" s="56">
        <f t="shared" si="26"/>
        <v>0</v>
      </c>
      <c r="I48" s="56">
        <f t="shared" si="26"/>
        <v>0</v>
      </c>
      <c r="J48" s="56">
        <f t="shared" si="26"/>
        <v>0</v>
      </c>
      <c r="K48" s="56">
        <f t="shared" si="26"/>
        <v>0</v>
      </c>
      <c r="L48" s="56">
        <f t="shared" si="26"/>
        <v>0</v>
      </c>
      <c r="M48" s="56">
        <f t="shared" si="26"/>
        <v>0</v>
      </c>
      <c r="N48" s="56">
        <f t="shared" si="26"/>
        <v>0</v>
      </c>
      <c r="O48" s="56">
        <f t="shared" si="26"/>
        <v>0</v>
      </c>
      <c r="P48" s="56">
        <f t="shared" si="26"/>
        <v>0</v>
      </c>
      <c r="Q48" s="56">
        <f t="shared" si="26"/>
        <v>0</v>
      </c>
      <c r="R48" s="56">
        <f t="shared" si="26"/>
        <v>0</v>
      </c>
      <c r="S48" s="56">
        <f t="shared" si="26"/>
        <v>0</v>
      </c>
      <c r="T48" s="56">
        <f t="shared" si="26"/>
        <v>0</v>
      </c>
      <c r="U48" s="56">
        <f t="shared" si="26"/>
        <v>0</v>
      </c>
      <c r="V48" s="56">
        <f t="shared" si="26"/>
        <v>0</v>
      </c>
      <c r="W48" s="56">
        <f t="shared" si="26"/>
        <v>0</v>
      </c>
      <c r="X48" s="56">
        <f t="shared" ref="X48:AA48" si="27">IF(X$22=0,0,X39/X$22)</f>
        <v>0</v>
      </c>
      <c r="Y48" s="56">
        <f t="shared" si="27"/>
        <v>0</v>
      </c>
      <c r="Z48" s="56">
        <f t="shared" si="27"/>
        <v>0</v>
      </c>
      <c r="AA48" s="56">
        <f t="shared" si="27"/>
        <v>0</v>
      </c>
    </row>
    <row r="49" spans="1:27" x14ac:dyDescent="0.25">
      <c r="A49" s="7" t="s">
        <v>115</v>
      </c>
      <c r="B49" s="35" t="s">
        <v>117</v>
      </c>
      <c r="C49" s="29"/>
      <c r="D49" s="56">
        <f>IF(D22=0,0,D41/D22)</f>
        <v>0</v>
      </c>
      <c r="E49" s="56">
        <f t="shared" ref="E49:W49" si="28">IF(E22=0,0,E41/E22)</f>
        <v>0</v>
      </c>
      <c r="F49" s="56">
        <f t="shared" si="28"/>
        <v>0</v>
      </c>
      <c r="G49" s="56">
        <f t="shared" si="28"/>
        <v>0</v>
      </c>
      <c r="H49" s="56">
        <f t="shared" si="28"/>
        <v>0</v>
      </c>
      <c r="I49" s="56">
        <f t="shared" si="28"/>
        <v>0</v>
      </c>
      <c r="J49" s="56">
        <f t="shared" si="28"/>
        <v>0</v>
      </c>
      <c r="K49" s="56">
        <f t="shared" si="28"/>
        <v>0</v>
      </c>
      <c r="L49" s="56">
        <f t="shared" si="28"/>
        <v>0</v>
      </c>
      <c r="M49" s="56">
        <f t="shared" si="28"/>
        <v>0</v>
      </c>
      <c r="N49" s="56">
        <f t="shared" si="28"/>
        <v>0</v>
      </c>
      <c r="O49" s="56">
        <f>IF(O22=0,0,O41/O22)</f>
        <v>0</v>
      </c>
      <c r="P49" s="56">
        <f t="shared" si="28"/>
        <v>0</v>
      </c>
      <c r="Q49" s="56">
        <f t="shared" si="28"/>
        <v>0</v>
      </c>
      <c r="R49" s="56">
        <f t="shared" si="28"/>
        <v>0</v>
      </c>
      <c r="S49" s="56">
        <f t="shared" si="28"/>
        <v>0</v>
      </c>
      <c r="T49" s="56">
        <f t="shared" si="28"/>
        <v>0</v>
      </c>
      <c r="U49" s="56">
        <f t="shared" si="28"/>
        <v>0</v>
      </c>
      <c r="V49" s="56">
        <f t="shared" si="28"/>
        <v>0</v>
      </c>
      <c r="W49" s="56">
        <f t="shared" si="28"/>
        <v>0</v>
      </c>
      <c r="X49" s="56">
        <f t="shared" ref="X49:AA49" si="29">IF(X22=0,0,X41/X22)</f>
        <v>0</v>
      </c>
      <c r="Y49" s="56">
        <f t="shared" si="29"/>
        <v>0</v>
      </c>
      <c r="Z49" s="56">
        <f t="shared" si="29"/>
        <v>0</v>
      </c>
      <c r="AA49" s="56">
        <f t="shared" si="29"/>
        <v>0</v>
      </c>
    </row>
    <row r="50" spans="1:27" x14ac:dyDescent="0.25">
      <c r="A50" s="7"/>
      <c r="B50" s="35"/>
      <c r="C50" s="29"/>
      <c r="D50" s="8"/>
      <c r="E50" s="8"/>
      <c r="F50" s="8"/>
      <c r="G50" s="8"/>
      <c r="H50" s="8"/>
      <c r="I50" s="8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</row>
    <row r="51" spans="1:27" x14ac:dyDescent="0.25">
      <c r="A51" s="28" t="s">
        <v>120</v>
      </c>
      <c r="B51" s="41"/>
      <c r="C51" s="29"/>
      <c r="D51" s="29"/>
      <c r="E51" s="29"/>
      <c r="F51" s="29"/>
      <c r="G51" s="29"/>
      <c r="H51" s="29"/>
      <c r="I51" s="30"/>
      <c r="J51" s="30"/>
      <c r="K51" s="30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spans="1:27" x14ac:dyDescent="0.25">
      <c r="A52" s="25" t="s">
        <v>265</v>
      </c>
      <c r="B52" s="35" t="s">
        <v>266</v>
      </c>
      <c r="C52" s="29"/>
      <c r="D52" s="29"/>
      <c r="E52" s="9">
        <f>MAX(0,D33)</f>
        <v>0</v>
      </c>
      <c r="F52" s="9">
        <f>MAX(0,E33)</f>
        <v>0</v>
      </c>
      <c r="G52" s="9">
        <f t="shared" ref="G52:W52" si="30">MAX(0,F33)</f>
        <v>0</v>
      </c>
      <c r="H52" s="9">
        <f t="shared" si="30"/>
        <v>0</v>
      </c>
      <c r="I52" s="9">
        <f t="shared" si="30"/>
        <v>0</v>
      </c>
      <c r="J52" s="9">
        <f t="shared" si="30"/>
        <v>0</v>
      </c>
      <c r="K52" s="9">
        <f>MAX(0,J33)</f>
        <v>0</v>
      </c>
      <c r="L52" s="9">
        <f t="shared" si="30"/>
        <v>0</v>
      </c>
      <c r="M52" s="9">
        <f t="shared" si="30"/>
        <v>0</v>
      </c>
      <c r="N52" s="9">
        <f t="shared" si="30"/>
        <v>0</v>
      </c>
      <c r="O52" s="9">
        <f t="shared" si="30"/>
        <v>0</v>
      </c>
      <c r="P52" s="9">
        <f t="shared" si="30"/>
        <v>0</v>
      </c>
      <c r="Q52" s="9">
        <f t="shared" si="30"/>
        <v>0</v>
      </c>
      <c r="R52" s="9">
        <f t="shared" si="30"/>
        <v>0</v>
      </c>
      <c r="S52" s="9">
        <f t="shared" si="30"/>
        <v>0</v>
      </c>
      <c r="T52" s="9">
        <f t="shared" si="30"/>
        <v>0</v>
      </c>
      <c r="U52" s="9">
        <f t="shared" si="30"/>
        <v>0</v>
      </c>
      <c r="V52" s="9">
        <f t="shared" si="30"/>
        <v>0</v>
      </c>
      <c r="W52" s="9">
        <f t="shared" si="30"/>
        <v>0</v>
      </c>
      <c r="X52" s="9">
        <f t="shared" ref="X52" si="31">MAX(0,W33)</f>
        <v>0</v>
      </c>
      <c r="Y52" s="9">
        <f t="shared" ref="Y52" si="32">MAX(0,X33)</f>
        <v>0</v>
      </c>
      <c r="Z52" s="9">
        <f t="shared" ref="Z52" si="33">MAX(0,Y33)</f>
        <v>0</v>
      </c>
      <c r="AA52" s="9">
        <f t="shared" ref="AA52" si="34">MAX(0,Z33)</f>
        <v>0</v>
      </c>
    </row>
    <row r="53" spans="1:27" x14ac:dyDescent="0.25">
      <c r="A53" s="25"/>
      <c r="B53" s="35"/>
      <c r="C53" s="29"/>
      <c r="D53" s="29"/>
      <c r="E53" s="2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x14ac:dyDescent="0.25">
      <c r="A54" s="25"/>
      <c r="B54" s="35"/>
      <c r="C54" s="29"/>
      <c r="D54" s="29"/>
      <c r="E54" s="29"/>
      <c r="F54" s="29"/>
      <c r="G54" s="2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x14ac:dyDescent="0.25">
      <c r="A55" s="25" t="s">
        <v>261</v>
      </c>
      <c r="B55" s="35"/>
      <c r="C55" s="29"/>
      <c r="D55" s="45"/>
      <c r="E55" s="9">
        <f t="shared" ref="E55:AA55" si="35">SUM(E52:E54)</f>
        <v>0</v>
      </c>
      <c r="F55" s="9">
        <f t="shared" si="35"/>
        <v>0</v>
      </c>
      <c r="G55" s="9">
        <f t="shared" si="35"/>
        <v>0</v>
      </c>
      <c r="H55" s="9">
        <f t="shared" si="35"/>
        <v>0</v>
      </c>
      <c r="I55" s="9">
        <f t="shared" si="35"/>
        <v>0</v>
      </c>
      <c r="J55" s="9">
        <f t="shared" si="35"/>
        <v>0</v>
      </c>
      <c r="K55" s="9">
        <f>SUM(K52:K54)</f>
        <v>0</v>
      </c>
      <c r="L55" s="9">
        <f t="shared" si="35"/>
        <v>0</v>
      </c>
      <c r="M55" s="9">
        <f t="shared" si="35"/>
        <v>0</v>
      </c>
      <c r="N55" s="9">
        <f t="shared" si="35"/>
        <v>0</v>
      </c>
      <c r="O55" s="9">
        <f t="shared" si="35"/>
        <v>0</v>
      </c>
      <c r="P55" s="9">
        <f t="shared" si="35"/>
        <v>0</v>
      </c>
      <c r="Q55" s="9">
        <f t="shared" si="35"/>
        <v>0</v>
      </c>
      <c r="R55" s="9">
        <f t="shared" si="35"/>
        <v>0</v>
      </c>
      <c r="S55" s="9">
        <f t="shared" si="35"/>
        <v>0</v>
      </c>
      <c r="T55" s="9">
        <f t="shared" si="35"/>
        <v>0</v>
      </c>
      <c r="U55" s="9">
        <f t="shared" si="35"/>
        <v>0</v>
      </c>
      <c r="V55" s="9">
        <f t="shared" si="35"/>
        <v>0</v>
      </c>
      <c r="W55" s="9">
        <f t="shared" si="35"/>
        <v>0</v>
      </c>
      <c r="X55" s="9">
        <f t="shared" si="35"/>
        <v>0</v>
      </c>
      <c r="Y55" s="9">
        <f t="shared" si="35"/>
        <v>0</v>
      </c>
      <c r="Z55" s="9">
        <f t="shared" si="35"/>
        <v>0</v>
      </c>
      <c r="AA55" s="9">
        <f t="shared" si="35"/>
        <v>0</v>
      </c>
    </row>
    <row r="56" spans="1:27" x14ac:dyDescent="0.25">
      <c r="A56" s="25" t="s">
        <v>103</v>
      </c>
      <c r="B56" s="35" t="s">
        <v>267</v>
      </c>
      <c r="C56" s="29"/>
      <c r="D56" s="45"/>
      <c r="E56" s="45"/>
      <c r="F56" s="45"/>
      <c r="G56" s="45"/>
      <c r="H56" s="45"/>
      <c r="I56" s="45"/>
      <c r="J56" s="45"/>
      <c r="K56" s="45"/>
      <c r="L56" s="9">
        <f t="shared" ref="L56:AA56" si="36">IF(K37&lt;0,0,MIN(D29,K37))</f>
        <v>0</v>
      </c>
      <c r="M56" s="9">
        <f t="shared" si="36"/>
        <v>0</v>
      </c>
      <c r="N56" s="9">
        <f t="shared" si="36"/>
        <v>0</v>
      </c>
      <c r="O56" s="9">
        <f t="shared" si="36"/>
        <v>0</v>
      </c>
      <c r="P56" s="9">
        <f t="shared" si="36"/>
        <v>0</v>
      </c>
      <c r="Q56" s="9">
        <f t="shared" si="36"/>
        <v>0</v>
      </c>
      <c r="R56" s="9">
        <f t="shared" si="36"/>
        <v>0</v>
      </c>
      <c r="S56" s="9">
        <f t="shared" si="36"/>
        <v>0</v>
      </c>
      <c r="T56" s="9">
        <f t="shared" si="36"/>
        <v>0</v>
      </c>
      <c r="U56" s="9">
        <f t="shared" si="36"/>
        <v>0</v>
      </c>
      <c r="V56" s="9">
        <f t="shared" si="36"/>
        <v>0</v>
      </c>
      <c r="W56" s="9">
        <f t="shared" si="36"/>
        <v>0</v>
      </c>
      <c r="X56" s="9">
        <f t="shared" si="36"/>
        <v>0</v>
      </c>
      <c r="Y56" s="9">
        <f t="shared" si="36"/>
        <v>0</v>
      </c>
      <c r="Z56" s="9">
        <f t="shared" si="36"/>
        <v>0</v>
      </c>
      <c r="AA56" s="9">
        <f t="shared" si="36"/>
        <v>0</v>
      </c>
    </row>
    <row r="57" spans="1:27" x14ac:dyDescent="0.25">
      <c r="A57" s="7" t="s">
        <v>104</v>
      </c>
      <c r="B57" s="35" t="s">
        <v>268</v>
      </c>
      <c r="C57" s="29"/>
      <c r="D57" s="45"/>
      <c r="E57" s="45"/>
      <c r="F57" s="45"/>
      <c r="G57" s="45"/>
      <c r="H57" s="45"/>
      <c r="I57" s="30"/>
      <c r="J57" s="30"/>
      <c r="K57" s="30"/>
      <c r="L57" s="45"/>
      <c r="M57" s="30"/>
      <c r="N57" s="30"/>
      <c r="O57" s="30"/>
      <c r="P57" s="9">
        <f t="shared" ref="P57:AA57" si="37">IF(O38&lt;0,0,MIN(D30,O38))</f>
        <v>0</v>
      </c>
      <c r="Q57" s="9">
        <f t="shared" si="37"/>
        <v>0</v>
      </c>
      <c r="R57" s="9">
        <f t="shared" si="37"/>
        <v>0</v>
      </c>
      <c r="S57" s="9">
        <f t="shared" si="37"/>
        <v>0</v>
      </c>
      <c r="T57" s="9">
        <f t="shared" si="37"/>
        <v>0</v>
      </c>
      <c r="U57" s="9">
        <f t="shared" si="37"/>
        <v>0</v>
      </c>
      <c r="V57" s="9">
        <f t="shared" si="37"/>
        <v>0</v>
      </c>
      <c r="W57" s="9">
        <f t="shared" si="37"/>
        <v>0</v>
      </c>
      <c r="X57" s="9">
        <f t="shared" si="37"/>
        <v>0</v>
      </c>
      <c r="Y57" s="9">
        <f t="shared" si="37"/>
        <v>0</v>
      </c>
      <c r="Z57" s="9">
        <f t="shared" si="37"/>
        <v>0</v>
      </c>
      <c r="AA57" s="9">
        <f t="shared" si="37"/>
        <v>0</v>
      </c>
    </row>
    <row r="58" spans="1:27" x14ac:dyDescent="0.25">
      <c r="A58" s="7" t="s">
        <v>105</v>
      </c>
      <c r="B58" s="35" t="s">
        <v>269</v>
      </c>
      <c r="C58" s="29"/>
      <c r="D58" s="45"/>
      <c r="E58" s="45"/>
      <c r="F58" s="45"/>
      <c r="G58" s="45"/>
      <c r="H58" s="45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 spans="1:27" x14ac:dyDescent="0.25">
      <c r="A59" s="7" t="s">
        <v>102</v>
      </c>
      <c r="B59" s="35" t="s">
        <v>111</v>
      </c>
      <c r="C59" s="29"/>
      <c r="D59" s="45"/>
      <c r="E59" s="45"/>
      <c r="F59" s="45"/>
      <c r="G59" s="45"/>
      <c r="H59" s="45"/>
      <c r="I59" s="30"/>
      <c r="J59" s="30"/>
      <c r="K59" s="30"/>
      <c r="L59" s="9">
        <f>SUM(L56:L58)</f>
        <v>0</v>
      </c>
      <c r="M59" s="9">
        <f t="shared" ref="M59:W59" si="38">SUM(M56:M58)</f>
        <v>0</v>
      </c>
      <c r="N59" s="9">
        <f t="shared" si="38"/>
        <v>0</v>
      </c>
      <c r="O59" s="9">
        <f t="shared" si="38"/>
        <v>0</v>
      </c>
      <c r="P59" s="9">
        <f t="shared" si="38"/>
        <v>0</v>
      </c>
      <c r="Q59" s="9">
        <f t="shared" si="38"/>
        <v>0</v>
      </c>
      <c r="R59" s="9">
        <f t="shared" si="38"/>
        <v>0</v>
      </c>
      <c r="S59" s="9">
        <f t="shared" si="38"/>
        <v>0</v>
      </c>
      <c r="T59" s="9">
        <f t="shared" si="38"/>
        <v>0</v>
      </c>
      <c r="U59" s="9">
        <f t="shared" si="38"/>
        <v>0</v>
      </c>
      <c r="V59" s="9">
        <f t="shared" si="38"/>
        <v>0</v>
      </c>
      <c r="W59" s="9">
        <f t="shared" si="38"/>
        <v>0</v>
      </c>
      <c r="X59" s="9">
        <f t="shared" ref="X59:AA59" si="39">SUM(X56:X58)</f>
        <v>0</v>
      </c>
      <c r="Y59" s="9">
        <f t="shared" si="39"/>
        <v>0</v>
      </c>
      <c r="Z59" s="9">
        <f t="shared" si="39"/>
        <v>0</v>
      </c>
      <c r="AA59" s="9">
        <f t="shared" si="39"/>
        <v>0</v>
      </c>
    </row>
    <row r="60" spans="1:27" x14ac:dyDescent="0.25">
      <c r="A60" s="28" t="s">
        <v>121</v>
      </c>
      <c r="B60" s="44"/>
      <c r="C60" s="29"/>
      <c r="D60" s="55"/>
      <c r="E60" s="55"/>
      <c r="F60" s="55"/>
      <c r="G60" s="55"/>
      <c r="H60" s="55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 spans="1:27" x14ac:dyDescent="0.25">
      <c r="A61" s="7" t="s">
        <v>272</v>
      </c>
      <c r="B61" s="7" t="s">
        <v>273</v>
      </c>
      <c r="C61" s="29"/>
      <c r="D61" s="31">
        <f t="shared" ref="D61:AA61" si="40">D11</f>
        <v>2.66166666666666</v>
      </c>
      <c r="E61" s="31">
        <f t="shared" si="40"/>
        <v>2.5960000000000001</v>
      </c>
      <c r="F61" s="31">
        <f t="shared" si="40"/>
        <v>2.246</v>
      </c>
      <c r="G61" s="31">
        <f t="shared" si="40"/>
        <v>2.1846670000000001</v>
      </c>
      <c r="H61" s="31">
        <f t="shared" si="40"/>
        <v>2.2000000000000002</v>
      </c>
      <c r="I61" s="31">
        <f t="shared" si="40"/>
        <v>2.2000000000000002</v>
      </c>
      <c r="J61" s="31">
        <f t="shared" si="40"/>
        <v>2.2000000000000002</v>
      </c>
      <c r="K61" s="31">
        <f t="shared" si="40"/>
        <v>2.2000000000000002</v>
      </c>
      <c r="L61" s="31">
        <f t="shared" si="40"/>
        <v>2.4500000000000002</v>
      </c>
      <c r="M61" s="31">
        <f t="shared" si="40"/>
        <v>2.4500000000000002</v>
      </c>
      <c r="N61" s="31">
        <f t="shared" si="40"/>
        <v>2.7</v>
      </c>
      <c r="O61" s="31">
        <f t="shared" si="40"/>
        <v>2.7</v>
      </c>
      <c r="P61" s="31">
        <f t="shared" si="40"/>
        <v>2.7</v>
      </c>
      <c r="Q61" s="31">
        <f t="shared" si="40"/>
        <v>2.7</v>
      </c>
      <c r="R61" s="31">
        <f t="shared" si="40"/>
        <v>2.7</v>
      </c>
      <c r="S61" s="31">
        <f t="shared" si="40"/>
        <v>2.7</v>
      </c>
      <c r="T61" s="31">
        <f t="shared" si="40"/>
        <v>2.7</v>
      </c>
      <c r="U61" s="31">
        <f t="shared" si="40"/>
        <v>2.7</v>
      </c>
      <c r="V61" s="31">
        <f t="shared" si="40"/>
        <v>2.7</v>
      </c>
      <c r="W61" s="31">
        <f t="shared" si="40"/>
        <v>2.7</v>
      </c>
      <c r="X61" s="31">
        <f t="shared" si="40"/>
        <v>2.7</v>
      </c>
      <c r="Y61" s="31">
        <f t="shared" si="40"/>
        <v>2.7</v>
      </c>
      <c r="Z61" s="31">
        <f t="shared" si="40"/>
        <v>2.7</v>
      </c>
      <c r="AA61" s="31">
        <f t="shared" si="40"/>
        <v>2.7</v>
      </c>
    </row>
    <row r="62" spans="1:27" x14ac:dyDescent="0.25">
      <c r="A62" s="7"/>
      <c r="B62" s="7"/>
      <c r="C62" s="29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 spans="1:27" x14ac:dyDescent="0.25">
      <c r="A63" s="7"/>
      <c r="B63" s="7"/>
      <c r="C63" s="29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 spans="1:27" ht="26.25" x14ac:dyDescent="0.25">
      <c r="A64" s="7" t="s">
        <v>221</v>
      </c>
      <c r="B64" s="35" t="s">
        <v>223</v>
      </c>
      <c r="C64" s="29"/>
      <c r="D64" s="31">
        <f>D13</f>
        <v>2.9906666666666601</v>
      </c>
      <c r="E64" s="31">
        <f>IF(SUM(D29:E29)&gt;0, SUMPRODUCT(D29:E29,D$13:E$13)/SUM(D29:E29), E$13)</f>
        <v>3.0644</v>
      </c>
      <c r="F64" s="31">
        <f>IF(SUM(D29:F29)&gt;0, SUMPRODUCT(D29:F29,D$13:F$13)/SUM(D29:F29), F$13)</f>
        <v>2.8384</v>
      </c>
      <c r="G64" s="31">
        <f>IF(SUM(D29:G29)&gt;0, SUMPRODUCT(D29:G29,D$13:G$13)/SUM(D29:G29), G$13)</f>
        <v>2.9120889999999999</v>
      </c>
      <c r="H64" s="31">
        <f>IF(SUM(D29:H29)&gt;0, SUMPRODUCT(D29:H29,D$13:H$13)/SUM(D29:H29), H$13)</f>
        <v>2.4156075408348499</v>
      </c>
      <c r="I64" s="31">
        <f>IF(SUM(D29:I29)&gt;0, SUMPRODUCT(D29:I29,D$13:I$13)/SUM(D29:I29), I$13)</f>
        <v>2.4483044266243899</v>
      </c>
      <c r="J64" s="31">
        <f>IF(SUM(D29:J29)&gt;0, SUMPRODUCT(D29:J29,D$13:J$13)/SUM(D29:J29), J$13)</f>
        <v>2.5111633473523298</v>
      </c>
      <c r="K64" s="31">
        <f t="shared" ref="K64:Z64" si="41">IF(SUM(D28:K28)&gt;0, SUMPRODUCT(D28:K28,D$13:K$13)/SUM(D28:K28), K$13)</f>
        <v>2.5772256649611598</v>
      </c>
      <c r="L64" s="31">
        <f t="shared" si="41"/>
        <v>2.6982252129903701</v>
      </c>
      <c r="M64" s="31">
        <f t="shared" si="41"/>
        <v>2.7315614500000001</v>
      </c>
      <c r="N64" s="31">
        <f t="shared" si="41"/>
        <v>2.82</v>
      </c>
      <c r="O64" s="31">
        <f t="shared" si="41"/>
        <v>2.82</v>
      </c>
      <c r="P64" s="31">
        <f t="shared" si="41"/>
        <v>2.82</v>
      </c>
      <c r="Q64" s="31">
        <f t="shared" si="41"/>
        <v>2.82</v>
      </c>
      <c r="R64" s="31">
        <f t="shared" si="41"/>
        <v>2.82</v>
      </c>
      <c r="S64" s="31">
        <f t="shared" si="41"/>
        <v>2.82</v>
      </c>
      <c r="T64" s="31">
        <f t="shared" si="41"/>
        <v>2.82</v>
      </c>
      <c r="U64" s="31">
        <f t="shared" si="41"/>
        <v>2.82</v>
      </c>
      <c r="V64" s="31">
        <f t="shared" si="41"/>
        <v>2.82</v>
      </c>
      <c r="W64" s="31">
        <f t="shared" si="41"/>
        <v>2.82</v>
      </c>
      <c r="X64" s="31">
        <f t="shared" si="41"/>
        <v>2.82</v>
      </c>
      <c r="Y64" s="31">
        <f t="shared" si="41"/>
        <v>2.82</v>
      </c>
      <c r="Z64" s="31">
        <f t="shared" si="41"/>
        <v>2.82</v>
      </c>
      <c r="AA64" s="31">
        <f>IF(SUM(T28:AA28)&gt;0, SUMPRODUCT(T28:AA28,T$13:AA$13)/SUM(T28:AA28), AA$13)</f>
        <v>2.82</v>
      </c>
    </row>
    <row r="65" spans="1:27" ht="26.25" x14ac:dyDescent="0.25">
      <c r="A65" s="7" t="s">
        <v>222</v>
      </c>
      <c r="B65" s="35" t="s">
        <v>224</v>
      </c>
      <c r="C65" s="29"/>
      <c r="D65" s="31">
        <f>D14</f>
        <v>2.9906666666666601</v>
      </c>
      <c r="E65" s="31">
        <f>IF(SUM(D30:E30)&gt;0, SUMPRODUCT(D30:E30,D$14:E$14)/SUM(D30:E30), E$14)</f>
        <v>3.0644</v>
      </c>
      <c r="F65" s="31">
        <f>IF(SUM(D30:F30)&gt;0, SUMPRODUCT(D30:F30,D$14:F$14)/SUM(D30:F30), F$14)</f>
        <v>2.8384</v>
      </c>
      <c r="G65" s="31">
        <f>IF(SUM(D30:G30)&gt;0, SUMPRODUCT(D30:G30,D$14:G$14)/SUM(D30:G30), G$14)</f>
        <v>2.9120889999999999</v>
      </c>
      <c r="H65" s="31">
        <f>IF(SUM(D30:H30)&gt;0, SUMPRODUCT(D30:H30,D$14:H$14)/SUM(D30:H30), H$14)</f>
        <v>2.48985046083485</v>
      </c>
      <c r="I65" s="31">
        <f>IF(SUM(D30:I30)&gt;0, SUMPRODUCT(D30:I30,D$14:I$14)/SUM(D30:I30), I$14)</f>
        <v>2.52329872662439</v>
      </c>
      <c r="J65" s="31">
        <f>IF(SUM(D30:J30)&gt;0, SUMPRODUCT(D30:J30,D$14:J$14)/SUM(D30:J30), J$14)</f>
        <v>2.5869092073523299</v>
      </c>
      <c r="K65" s="31">
        <f>IF(SUM(D30:K30)&gt;0, SUMPRODUCT(D30:K30,D$14:K$14)/SUM(D30:K30), K$14)</f>
        <v>2.6537230849611602</v>
      </c>
      <c r="L65" s="31">
        <f>IF(SUM(D30:L30)&gt;0, SUMPRODUCT(D30:L30,D$14:L$14)/SUM(D30:L30), L$14)</f>
        <v>2.76047437299037</v>
      </c>
      <c r="M65" s="31">
        <f>IF(SUM(D30:M30)&gt;0, SUMPRODUCT(D30:M30,D$14:M$14)/SUM(D30:M30), M$14)</f>
        <v>2.7941860300000001</v>
      </c>
      <c r="N65" s="31">
        <f>IF(SUM(D30:N30)&gt;0, SUMPRODUCT(D30:N30,D$14:N$14)/SUM(D30:N30), N$14)</f>
        <v>2.8679999999999999</v>
      </c>
      <c r="O65" s="31">
        <f t="shared" ref="O65:AA65" si="42">IF(SUM(D30:O30)&gt;0, SUMPRODUCT(D30:O30,D$14:O$14)/SUM(D30:O30), O$14)</f>
        <v>2.8679999999999999</v>
      </c>
      <c r="P65" s="31">
        <f t="shared" si="42"/>
        <v>2.8679999999999999</v>
      </c>
      <c r="Q65" s="31">
        <f t="shared" si="42"/>
        <v>2.8679999999999999</v>
      </c>
      <c r="R65" s="31">
        <f t="shared" si="42"/>
        <v>2.8679999999999999</v>
      </c>
      <c r="S65" s="31">
        <f t="shared" si="42"/>
        <v>2.8679999999999999</v>
      </c>
      <c r="T65" s="31">
        <f t="shared" si="42"/>
        <v>2.8679999999999999</v>
      </c>
      <c r="U65" s="31">
        <f t="shared" si="42"/>
        <v>2.8679999999999999</v>
      </c>
      <c r="V65" s="31">
        <f t="shared" si="42"/>
        <v>2.8679999999999999</v>
      </c>
      <c r="W65" s="31">
        <f t="shared" si="42"/>
        <v>2.8679999999999999</v>
      </c>
      <c r="X65" s="31">
        <f t="shared" si="42"/>
        <v>2.8679999999999999</v>
      </c>
      <c r="Y65" s="31">
        <f t="shared" si="42"/>
        <v>2.8679999999999999</v>
      </c>
      <c r="Z65" s="31">
        <f t="shared" si="42"/>
        <v>2.8679999999999999</v>
      </c>
      <c r="AA65" s="31">
        <f t="shared" si="42"/>
        <v>2.8679999999999999</v>
      </c>
    </row>
    <row r="66" spans="1:27" x14ac:dyDescent="0.25">
      <c r="A66" s="25" t="s">
        <v>219</v>
      </c>
      <c r="B66" s="35" t="s">
        <v>124</v>
      </c>
      <c r="C66" s="29"/>
      <c r="D66" s="59">
        <f t="shared" ref="D66:AA66" si="43">IF(AND(D31&gt;0,D39&gt;0),MIN(MAX(0,D31/D39),1),0)</f>
        <v>0</v>
      </c>
      <c r="E66" s="59">
        <f t="shared" si="43"/>
        <v>0</v>
      </c>
      <c r="F66" s="59">
        <f t="shared" si="43"/>
        <v>0</v>
      </c>
      <c r="G66" s="59">
        <f t="shared" si="43"/>
        <v>0</v>
      </c>
      <c r="H66" s="59">
        <f t="shared" si="43"/>
        <v>0</v>
      </c>
      <c r="I66" s="59">
        <f t="shared" si="43"/>
        <v>0</v>
      </c>
      <c r="J66" s="59">
        <f t="shared" si="43"/>
        <v>0</v>
      </c>
      <c r="K66" s="59">
        <f t="shared" si="43"/>
        <v>0</v>
      </c>
      <c r="L66" s="59">
        <f t="shared" si="43"/>
        <v>0</v>
      </c>
      <c r="M66" s="59">
        <f t="shared" si="43"/>
        <v>0</v>
      </c>
      <c r="N66" s="59">
        <f t="shared" si="43"/>
        <v>0</v>
      </c>
      <c r="O66" s="59">
        <f t="shared" si="43"/>
        <v>0</v>
      </c>
      <c r="P66" s="59">
        <f t="shared" si="43"/>
        <v>0</v>
      </c>
      <c r="Q66" s="59">
        <f t="shared" si="43"/>
        <v>0</v>
      </c>
      <c r="R66" s="59">
        <f t="shared" si="43"/>
        <v>0</v>
      </c>
      <c r="S66" s="59">
        <f t="shared" si="43"/>
        <v>0</v>
      </c>
      <c r="T66" s="59">
        <f t="shared" si="43"/>
        <v>0</v>
      </c>
      <c r="U66" s="59">
        <f t="shared" si="43"/>
        <v>0</v>
      </c>
      <c r="V66" s="59">
        <f t="shared" si="43"/>
        <v>0</v>
      </c>
      <c r="W66" s="59">
        <f t="shared" si="43"/>
        <v>0</v>
      </c>
      <c r="X66" s="59">
        <f t="shared" si="43"/>
        <v>0</v>
      </c>
      <c r="Y66" s="59">
        <f t="shared" si="43"/>
        <v>0</v>
      </c>
      <c r="Z66" s="59">
        <f t="shared" si="43"/>
        <v>0</v>
      </c>
      <c r="AA66" s="59">
        <f t="shared" si="43"/>
        <v>0</v>
      </c>
    </row>
    <row r="67" spans="1:27" x14ac:dyDescent="0.25">
      <c r="A67" s="25" t="s">
        <v>123</v>
      </c>
      <c r="B67" s="35" t="s">
        <v>124</v>
      </c>
      <c r="C67" s="29"/>
      <c r="D67" s="59">
        <f t="shared" ref="D67:AA67" si="44">IF(AND(D32&gt;0,D41&gt;0),MIN(MAX(0,D32/D41),1),0)</f>
        <v>0</v>
      </c>
      <c r="E67" s="59">
        <f t="shared" si="44"/>
        <v>0</v>
      </c>
      <c r="F67" s="59">
        <f t="shared" si="44"/>
        <v>0</v>
      </c>
      <c r="G67" s="59">
        <f t="shared" si="44"/>
        <v>0</v>
      </c>
      <c r="H67" s="59">
        <f t="shared" si="44"/>
        <v>0</v>
      </c>
      <c r="I67" s="59">
        <f t="shared" si="44"/>
        <v>0</v>
      </c>
      <c r="J67" s="59">
        <f t="shared" si="44"/>
        <v>0</v>
      </c>
      <c r="K67" s="59">
        <f t="shared" si="44"/>
        <v>0</v>
      </c>
      <c r="L67" s="59">
        <f t="shared" si="44"/>
        <v>0</v>
      </c>
      <c r="M67" s="59">
        <f t="shared" si="44"/>
        <v>0</v>
      </c>
      <c r="N67" s="59">
        <f t="shared" si="44"/>
        <v>0</v>
      </c>
      <c r="O67" s="59">
        <f t="shared" si="44"/>
        <v>0</v>
      </c>
      <c r="P67" s="59">
        <f t="shared" si="44"/>
        <v>0</v>
      </c>
      <c r="Q67" s="59">
        <f t="shared" si="44"/>
        <v>0</v>
      </c>
      <c r="R67" s="59">
        <f t="shared" si="44"/>
        <v>0</v>
      </c>
      <c r="S67" s="59">
        <f t="shared" si="44"/>
        <v>0</v>
      </c>
      <c r="T67" s="59">
        <f t="shared" si="44"/>
        <v>0</v>
      </c>
      <c r="U67" s="59">
        <f t="shared" si="44"/>
        <v>0</v>
      </c>
      <c r="V67" s="59">
        <f t="shared" si="44"/>
        <v>0</v>
      </c>
      <c r="W67" s="59">
        <f t="shared" si="44"/>
        <v>0</v>
      </c>
      <c r="X67" s="59">
        <f t="shared" si="44"/>
        <v>0</v>
      </c>
      <c r="Y67" s="59">
        <f t="shared" si="44"/>
        <v>0</v>
      </c>
      <c r="Z67" s="59">
        <f t="shared" si="44"/>
        <v>0</v>
      </c>
      <c r="AA67" s="59">
        <f t="shared" si="44"/>
        <v>0</v>
      </c>
    </row>
    <row r="68" spans="1:27" ht="26.25" x14ac:dyDescent="0.25">
      <c r="A68" s="25" t="s">
        <v>225</v>
      </c>
      <c r="B68" s="35" t="s">
        <v>122</v>
      </c>
      <c r="C68" s="29"/>
      <c r="D68" s="31">
        <f t="shared" ref="D68:AA68" si="45">IF(D39&gt;0,D66*D15+(1-D66)*C68,D15)</f>
        <v>2.9906666666666601</v>
      </c>
      <c r="E68" s="31">
        <f t="shared" si="45"/>
        <v>3.0644</v>
      </c>
      <c r="F68" s="31">
        <f t="shared" si="45"/>
        <v>2.8384</v>
      </c>
      <c r="G68" s="31">
        <f t="shared" si="45"/>
        <v>2.9120889999999999</v>
      </c>
      <c r="H68" s="31">
        <f t="shared" si="45"/>
        <v>2.6878315808348501</v>
      </c>
      <c r="I68" s="31">
        <f t="shared" si="45"/>
        <v>2.7232835266243902</v>
      </c>
      <c r="J68" s="31">
        <f t="shared" si="45"/>
        <v>2.7888981673523299</v>
      </c>
      <c r="K68" s="31">
        <f t="shared" si="45"/>
        <v>2.85771620496116</v>
      </c>
      <c r="L68" s="31">
        <f t="shared" si="45"/>
        <v>2.9264721329903698</v>
      </c>
      <c r="M68" s="31">
        <f t="shared" si="45"/>
        <v>2.9611849100000001</v>
      </c>
      <c r="N68" s="31">
        <f t="shared" si="45"/>
        <v>2.996</v>
      </c>
      <c r="O68" s="31">
        <f t="shared" si="45"/>
        <v>2.996</v>
      </c>
      <c r="P68" s="31">
        <f t="shared" si="45"/>
        <v>2.996</v>
      </c>
      <c r="Q68" s="31">
        <f t="shared" si="45"/>
        <v>2.996</v>
      </c>
      <c r="R68" s="31">
        <f t="shared" si="45"/>
        <v>2.996</v>
      </c>
      <c r="S68" s="31">
        <f t="shared" si="45"/>
        <v>2.996</v>
      </c>
      <c r="T68" s="31">
        <f t="shared" si="45"/>
        <v>2.996</v>
      </c>
      <c r="U68" s="31">
        <f t="shared" si="45"/>
        <v>2.996</v>
      </c>
      <c r="V68" s="31">
        <f t="shared" si="45"/>
        <v>2.996</v>
      </c>
      <c r="W68" s="31">
        <f t="shared" si="45"/>
        <v>2.996</v>
      </c>
      <c r="X68" s="31">
        <f t="shared" si="45"/>
        <v>2.996</v>
      </c>
      <c r="Y68" s="31">
        <f t="shared" si="45"/>
        <v>2.996</v>
      </c>
      <c r="Z68" s="31">
        <f t="shared" si="45"/>
        <v>2.996</v>
      </c>
      <c r="AA68" s="31">
        <f t="shared" si="45"/>
        <v>2.996</v>
      </c>
    </row>
    <row r="69" spans="1:27" ht="26.25" x14ac:dyDescent="0.25">
      <c r="A69" s="25" t="s">
        <v>47</v>
      </c>
      <c r="B69" s="35" t="s">
        <v>122</v>
      </c>
      <c r="C69" s="29"/>
      <c r="D69" s="31">
        <f t="shared" ref="D69:AA69" si="46">IF(D41&gt;0,D67*D12+(1-D67)*C69,D12)</f>
        <v>3.53</v>
      </c>
      <c r="E69" s="31">
        <f t="shared" si="46"/>
        <v>3.7833333333333301</v>
      </c>
      <c r="F69" s="31">
        <f t="shared" si="46"/>
        <v>3.6766666666666601</v>
      </c>
      <c r="G69" s="31">
        <f t="shared" si="46"/>
        <v>3.8372730000000002</v>
      </c>
      <c r="H69" s="31">
        <f t="shared" si="46"/>
        <v>3.8255129999999999</v>
      </c>
      <c r="I69" s="31">
        <f t="shared" si="46"/>
        <v>3.8136239999999999</v>
      </c>
      <c r="J69" s="31">
        <f t="shared" si="46"/>
        <v>3.8017349999999999</v>
      </c>
      <c r="K69" s="31">
        <f t="shared" si="46"/>
        <v>3.789847</v>
      </c>
      <c r="L69" s="31">
        <f t="shared" si="46"/>
        <v>3.7779579999999999</v>
      </c>
      <c r="M69" s="31">
        <f t="shared" si="46"/>
        <v>3.763979</v>
      </c>
      <c r="N69" s="31">
        <f t="shared" si="46"/>
        <v>3.75</v>
      </c>
      <c r="O69" s="31">
        <f t="shared" si="46"/>
        <v>3.75</v>
      </c>
      <c r="P69" s="31">
        <f t="shared" si="46"/>
        <v>3.75</v>
      </c>
      <c r="Q69" s="31">
        <f>IF(Q41&gt;0,Q67*Q12+(1-Q67)*P69,Q12)</f>
        <v>3.75</v>
      </c>
      <c r="R69" s="31">
        <f t="shared" si="46"/>
        <v>3.75</v>
      </c>
      <c r="S69" s="31">
        <f t="shared" si="46"/>
        <v>3.75</v>
      </c>
      <c r="T69" s="31">
        <f t="shared" si="46"/>
        <v>3.75</v>
      </c>
      <c r="U69" s="31">
        <f t="shared" si="46"/>
        <v>3.75</v>
      </c>
      <c r="V69" s="31">
        <f t="shared" si="46"/>
        <v>3.75</v>
      </c>
      <c r="W69" s="31">
        <f t="shared" si="46"/>
        <v>3.75</v>
      </c>
      <c r="X69" s="31">
        <f t="shared" si="46"/>
        <v>3.75</v>
      </c>
      <c r="Y69" s="31">
        <f t="shared" si="46"/>
        <v>3.75</v>
      </c>
      <c r="Z69" s="31">
        <f t="shared" si="46"/>
        <v>3.75</v>
      </c>
      <c r="AA69" s="31">
        <f t="shared" si="46"/>
        <v>3.75</v>
      </c>
    </row>
    <row r="70" spans="1:27" x14ac:dyDescent="0.25">
      <c r="A70" s="7"/>
      <c r="B70" s="35"/>
      <c r="C70" s="29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spans="1:27" ht="26.25" x14ac:dyDescent="0.25">
      <c r="A71" s="29" t="s">
        <v>48</v>
      </c>
      <c r="B71" s="44" t="s">
        <v>118</v>
      </c>
      <c r="C71" s="29"/>
      <c r="D71" s="45">
        <f>IF(D22&gt;0,SUMPRODUCT(D42:D44,D61:D63)+SUMPRODUCT(D46:D47,D64:D65)+SUMPRODUCT(D48:D49,D68:D69),D16)</f>
        <v>2.9356926478717464</v>
      </c>
      <c r="E71" s="45">
        <f t="shared" ref="E71:Z71" si="47">IF(E22&gt;0,SUMPRODUCT(E42,E61)+SUMPRODUCT(E46:E47,E64:E65)+SUMPRODUCT(E48:E49,E68:E69),E16)</f>
        <v>2.976965616362631</v>
      </c>
      <c r="F71" s="45">
        <f t="shared" si="47"/>
        <v>2.7145156440022093</v>
      </c>
      <c r="G71" s="45">
        <f t="shared" si="47"/>
        <v>2.7404523499170814</v>
      </c>
      <c r="H71" s="45">
        <f t="shared" si="47"/>
        <v>2.6154788170651897</v>
      </c>
      <c r="I71" s="45">
        <f t="shared" si="47"/>
        <v>2.6246962842974719</v>
      </c>
      <c r="J71" s="45">
        <f t="shared" si="47"/>
        <v>2.6441179149915013</v>
      </c>
      <c r="K71" s="45">
        <f t="shared" si="47"/>
        <v>2.6646234693400936</v>
      </c>
      <c r="L71" s="45">
        <f t="shared" si="47"/>
        <v>2.8146267640630773</v>
      </c>
      <c r="M71" s="45">
        <f t="shared" si="47"/>
        <v>2.823476838208955</v>
      </c>
      <c r="N71" s="45">
        <f t="shared" si="47"/>
        <v>2.9618805970149253</v>
      </c>
      <c r="O71" s="45">
        <f t="shared" si="47"/>
        <v>2.9618805970149253</v>
      </c>
      <c r="P71" s="45">
        <f t="shared" si="47"/>
        <v>2.9618805970149253</v>
      </c>
      <c r="Q71" s="45">
        <f t="shared" si="47"/>
        <v>2.9618805970149253</v>
      </c>
      <c r="R71" s="45">
        <f t="shared" si="47"/>
        <v>2.9618805970149253</v>
      </c>
      <c r="S71" s="45">
        <f t="shared" si="47"/>
        <v>2.9618805970149253</v>
      </c>
      <c r="T71" s="45">
        <f t="shared" si="47"/>
        <v>2.9618805970149253</v>
      </c>
      <c r="U71" s="45">
        <f t="shared" si="47"/>
        <v>2.9618805970149253</v>
      </c>
      <c r="V71" s="45">
        <f t="shared" si="47"/>
        <v>2.9618805970149253</v>
      </c>
      <c r="W71" s="45">
        <f t="shared" si="47"/>
        <v>2.9618805970149253</v>
      </c>
      <c r="X71" s="45">
        <f t="shared" si="47"/>
        <v>2.9618805970149253</v>
      </c>
      <c r="Y71" s="45">
        <f t="shared" si="47"/>
        <v>2.9618805970149253</v>
      </c>
      <c r="Z71" s="45">
        <f t="shared" si="47"/>
        <v>2.9618805970149253</v>
      </c>
      <c r="AA71" s="45">
        <f>IF(AA22&gt;0,SUMPRODUCT(AA42,AA61)+SUMPRODUCT(AA46:AA47,AA64:AA65)+SUMPRODUCT(AA48:AA49,AA68:AA69),AA16)</f>
        <v>2.9618805970149253</v>
      </c>
    </row>
    <row r="73" spans="1:27" x14ac:dyDescent="0.25">
      <c r="A73" s="10" t="s">
        <v>7</v>
      </c>
      <c r="B73" s="42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x14ac:dyDescent="0.25">
      <c r="A74" s="12" t="s">
        <v>49</v>
      </c>
      <c r="B74" s="43"/>
      <c r="C74" s="12"/>
      <c r="D74" s="13">
        <f>D19+D20</f>
        <v>0</v>
      </c>
      <c r="E74" s="13">
        <f t="shared" ref="E74:W74" si="48">E19+E20</f>
        <v>0</v>
      </c>
      <c r="F74" s="13">
        <f t="shared" si="48"/>
        <v>0</v>
      </c>
      <c r="G74" s="13">
        <f t="shared" si="48"/>
        <v>0</v>
      </c>
      <c r="H74" s="13">
        <f>H19+H20</f>
        <v>0</v>
      </c>
      <c r="I74" s="13">
        <f t="shared" si="48"/>
        <v>0</v>
      </c>
      <c r="J74" s="13">
        <f t="shared" si="48"/>
        <v>0</v>
      </c>
      <c r="K74" s="13">
        <f>K19+K20</f>
        <v>0</v>
      </c>
      <c r="L74" s="13">
        <f t="shared" si="48"/>
        <v>0</v>
      </c>
      <c r="M74" s="13">
        <f t="shared" si="48"/>
        <v>0</v>
      </c>
      <c r="N74" s="13">
        <f t="shared" si="48"/>
        <v>0</v>
      </c>
      <c r="O74" s="13">
        <f t="shared" si="48"/>
        <v>0</v>
      </c>
      <c r="P74" s="13">
        <f t="shared" si="48"/>
        <v>0</v>
      </c>
      <c r="Q74" s="13">
        <f t="shared" si="48"/>
        <v>0</v>
      </c>
      <c r="R74" s="13">
        <f t="shared" si="48"/>
        <v>0</v>
      </c>
      <c r="S74" s="13">
        <f t="shared" si="48"/>
        <v>0</v>
      </c>
      <c r="T74" s="13">
        <f t="shared" si="48"/>
        <v>0</v>
      </c>
      <c r="U74" s="13">
        <f t="shared" si="48"/>
        <v>0</v>
      </c>
      <c r="V74" s="13">
        <f t="shared" si="48"/>
        <v>0</v>
      </c>
      <c r="W74" s="13">
        <f t="shared" si="48"/>
        <v>0</v>
      </c>
      <c r="X74" s="13">
        <f t="shared" ref="X74:AA74" si="49">X19+X20</f>
        <v>0</v>
      </c>
      <c r="Y74" s="13">
        <f t="shared" si="49"/>
        <v>0</v>
      </c>
      <c r="Z74" s="13">
        <f t="shared" si="49"/>
        <v>0</v>
      </c>
      <c r="AA74" s="13">
        <f t="shared" si="49"/>
        <v>0</v>
      </c>
    </row>
    <row r="75" spans="1:27" x14ac:dyDescent="0.25">
      <c r="A75" s="12" t="s">
        <v>44</v>
      </c>
      <c r="B75" s="43"/>
      <c r="C75" s="12"/>
      <c r="D75" s="13">
        <f>-SUM($D21:D21)</f>
        <v>0</v>
      </c>
      <c r="E75" s="13">
        <f>-SUM($D21:E21)</f>
        <v>0</v>
      </c>
      <c r="F75" s="13">
        <f>-SUM($D21:F21)</f>
        <v>0</v>
      </c>
      <c r="G75" s="13">
        <f>-SUM($D21:G21)</f>
        <v>0</v>
      </c>
      <c r="H75" s="13">
        <f>-SUM($D21:H21)</f>
        <v>0</v>
      </c>
      <c r="I75" s="13">
        <f>-SUM($D21:I21)</f>
        <v>0</v>
      </c>
      <c r="J75" s="13">
        <f>-SUM($D21:J21)</f>
        <v>0</v>
      </c>
      <c r="K75" s="13">
        <f>-SUM($D21:K21)</f>
        <v>0</v>
      </c>
      <c r="L75" s="13">
        <f>-SUM($D21:L21)</f>
        <v>0</v>
      </c>
      <c r="M75" s="13">
        <f>-SUM($D21:M21)</f>
        <v>0</v>
      </c>
      <c r="N75" s="13">
        <f>-SUM($D21:N21)</f>
        <v>0</v>
      </c>
      <c r="O75" s="13">
        <f>-SUM($D21:O21)</f>
        <v>0</v>
      </c>
      <c r="P75" s="13">
        <f>-SUM($D21:P21)</f>
        <v>0</v>
      </c>
      <c r="Q75" s="13">
        <f>-SUM($D21:Q21)</f>
        <v>0</v>
      </c>
      <c r="R75" s="13">
        <f>-SUM($D21:R21)</f>
        <v>0</v>
      </c>
      <c r="S75" s="13">
        <f>-SUM($D21:S21)</f>
        <v>0</v>
      </c>
      <c r="T75" s="13">
        <f>-SUM($D21:T21)</f>
        <v>0</v>
      </c>
      <c r="U75" s="13">
        <f>-SUM($D21:U21)</f>
        <v>0</v>
      </c>
      <c r="V75" s="13">
        <f>-SUM($D21:V21)</f>
        <v>0</v>
      </c>
      <c r="W75" s="13">
        <f>-SUM($D21:W21)</f>
        <v>0</v>
      </c>
      <c r="X75" s="13">
        <f>-SUM($D21:X21)</f>
        <v>0</v>
      </c>
      <c r="Y75" s="13">
        <f>-SUM($D21:Y21)</f>
        <v>0</v>
      </c>
      <c r="Z75" s="13">
        <f>-SUM($D21:Z21)</f>
        <v>0</v>
      </c>
      <c r="AA75" s="13">
        <f>-SUM($D21:AA21)</f>
        <v>0</v>
      </c>
    </row>
    <row r="76" spans="1:27" x14ac:dyDescent="0.25">
      <c r="A76" s="12" t="s">
        <v>43</v>
      </c>
      <c r="B76" s="43"/>
      <c r="C76" s="12"/>
      <c r="D76" s="13">
        <f>SUM($D74:D74)</f>
        <v>0</v>
      </c>
      <c r="E76" s="13">
        <f>SUM($D74:E74)</f>
        <v>0</v>
      </c>
      <c r="F76" s="13">
        <f>SUM($D74:F74)</f>
        <v>0</v>
      </c>
      <c r="G76" s="13">
        <f>SUM($D74:G74)</f>
        <v>0</v>
      </c>
      <c r="H76" s="13">
        <f>SUM($D74:H74)</f>
        <v>0</v>
      </c>
      <c r="I76" s="13">
        <f>SUM($D74:I74)</f>
        <v>0</v>
      </c>
      <c r="J76" s="13">
        <f>SUM($D74:J74)</f>
        <v>0</v>
      </c>
      <c r="K76" s="13">
        <f>SUM($D74:K74)</f>
        <v>0</v>
      </c>
      <c r="L76" s="13">
        <f>SUM($D74:L74)</f>
        <v>0</v>
      </c>
      <c r="M76" s="13">
        <f>SUM($D74:M74)</f>
        <v>0</v>
      </c>
      <c r="N76" s="13">
        <f>SUM($D74:N74)</f>
        <v>0</v>
      </c>
      <c r="O76" s="13">
        <f>SUM($D74:O74)</f>
        <v>0</v>
      </c>
      <c r="P76" s="13">
        <f>SUM($D74:P74)</f>
        <v>0</v>
      </c>
      <c r="Q76" s="13">
        <f>SUM($D74:Q74)</f>
        <v>0</v>
      </c>
      <c r="R76" s="13">
        <f>SUM($D74:R74)</f>
        <v>0</v>
      </c>
      <c r="S76" s="13">
        <f>SUM($D74:S74)</f>
        <v>0</v>
      </c>
      <c r="T76" s="13">
        <f>SUM($D74:T74)</f>
        <v>0</v>
      </c>
      <c r="U76" s="13">
        <f>SUM($D74:U74)</f>
        <v>0</v>
      </c>
      <c r="V76" s="13">
        <f>SUM($D74:V74)</f>
        <v>0</v>
      </c>
      <c r="W76" s="13">
        <f>SUM($D74:W74)</f>
        <v>0</v>
      </c>
      <c r="X76" s="13">
        <f>SUM($D74:X74)</f>
        <v>0</v>
      </c>
      <c r="Y76" s="13">
        <f>SUM($D74:Y74)</f>
        <v>0</v>
      </c>
      <c r="Z76" s="13">
        <f>SUM($D74:Z74)</f>
        <v>0</v>
      </c>
      <c r="AA76" s="13">
        <f>SUM($D74:AA74)</f>
        <v>0</v>
      </c>
    </row>
    <row r="78" spans="1:27" x14ac:dyDescent="0.25">
      <c r="D78" s="15"/>
      <c r="E78" s="15"/>
      <c r="F78" s="15"/>
      <c r="G78" s="15"/>
      <c r="H78" s="15"/>
      <c r="I78" s="15"/>
      <c r="J78" s="15"/>
      <c r="K78" s="15"/>
      <c r="L78" s="15"/>
    </row>
    <row r="79" spans="1:27" x14ac:dyDescent="0.25">
      <c r="D79" s="17"/>
      <c r="E79" s="17"/>
      <c r="F79" s="17"/>
      <c r="G79" s="17"/>
      <c r="H79" s="17"/>
      <c r="I79" s="17"/>
      <c r="J79" s="17"/>
      <c r="K79" s="17"/>
      <c r="L79" s="17"/>
    </row>
    <row r="80" spans="1:27" x14ac:dyDescent="0.25">
      <c r="D80" s="16"/>
      <c r="E80" s="16"/>
      <c r="F80" s="16"/>
      <c r="G80" s="16"/>
      <c r="H80" s="16"/>
    </row>
    <row r="82" spans="4:7" x14ac:dyDescent="0.25">
      <c r="D82" s="65"/>
      <c r="E82" s="65"/>
      <c r="F82" s="65"/>
      <c r="G82" s="65"/>
    </row>
    <row r="83" spans="4:7" x14ac:dyDescent="0.25">
      <c r="G83" s="6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5BD51-C573-4F48-97F2-040C756B17DC}">
  <sheetPr>
    <tabColor theme="2" tint="-9.9978637043366805E-2"/>
  </sheetPr>
  <dimension ref="A1:Q43"/>
  <sheetViews>
    <sheetView workbookViewId="0">
      <selection activeCell="L32" sqref="L32"/>
    </sheetView>
  </sheetViews>
  <sheetFormatPr defaultRowHeight="15" x14ac:dyDescent="0.25"/>
  <cols>
    <col min="1" max="1" width="31.7109375" bestFit="1" customWidth="1"/>
    <col min="2" max="2" width="11.7109375" bestFit="1" customWidth="1"/>
    <col min="3" max="3" width="16" bestFit="1" customWidth="1"/>
    <col min="4" max="4" width="9.5703125" customWidth="1"/>
    <col min="5" max="5" width="7.7109375" bestFit="1" customWidth="1"/>
    <col min="6" max="6" width="9.5703125" customWidth="1"/>
    <col min="7" max="7" width="25.140625" customWidth="1"/>
    <col min="8" max="8" width="15.28515625" customWidth="1"/>
    <col min="9" max="10" width="17.7109375" customWidth="1"/>
    <col min="11" max="11" width="14.85546875" customWidth="1"/>
    <col min="12" max="12" width="14.5703125" customWidth="1"/>
    <col min="13" max="13" width="14.140625" customWidth="1"/>
    <col min="14" max="14" width="14" customWidth="1"/>
    <col min="15" max="15" width="15.7109375" customWidth="1"/>
    <col min="16" max="16" width="18.5703125" customWidth="1"/>
  </cols>
  <sheetData>
    <row r="1" spans="1:16" s="20" customFormat="1" x14ac:dyDescent="0.25">
      <c r="A1" s="109" t="s">
        <v>54</v>
      </c>
      <c r="B1" s="110" t="s">
        <v>24</v>
      </c>
      <c r="C1" s="110" t="s">
        <v>25</v>
      </c>
      <c r="D1" s="111" t="s">
        <v>33</v>
      </c>
      <c r="G1" s="109" t="s">
        <v>91</v>
      </c>
      <c r="H1" s="110" t="s">
        <v>24</v>
      </c>
      <c r="I1" s="110" t="s">
        <v>25</v>
      </c>
      <c r="J1" s="110" t="s">
        <v>33</v>
      </c>
      <c r="K1" s="110" t="s">
        <v>34</v>
      </c>
      <c r="L1" s="110" t="s">
        <v>35</v>
      </c>
      <c r="M1" s="110" t="s">
        <v>36</v>
      </c>
      <c r="N1" s="111" t="s">
        <v>283</v>
      </c>
    </row>
    <row r="2" spans="1:16" x14ac:dyDescent="0.25">
      <c r="A2" s="107" t="s">
        <v>55</v>
      </c>
      <c r="B2" s="70">
        <f>B22</f>
        <v>187</v>
      </c>
      <c r="C2" s="70">
        <f t="shared" ref="C2" si="0">C22</f>
        <v>202</v>
      </c>
      <c r="D2" s="71">
        <v>281</v>
      </c>
      <c r="G2" s="112" t="s">
        <v>55</v>
      </c>
      <c r="H2" s="75">
        <f>B2/B30</f>
        <v>0.42117117117117114</v>
      </c>
      <c r="I2" s="75">
        <f>C2/C30</f>
        <v>0.52196382428940569</v>
      </c>
      <c r="J2" s="75">
        <f>D2/SUM(D$2:D$4)</f>
        <v>0.57938144329896912</v>
      </c>
      <c r="K2" s="76">
        <f>J29</f>
        <v>0.54597701149425293</v>
      </c>
      <c r="L2" s="76">
        <f>J30</f>
        <v>0.47429519071310117</v>
      </c>
      <c r="M2" s="77">
        <f>J31</f>
        <v>0.45500848896434637</v>
      </c>
      <c r="N2" s="78">
        <f>AVERAGE(L2:M2)</f>
        <v>0.46465183983872377</v>
      </c>
    </row>
    <row r="3" spans="1:16" x14ac:dyDescent="0.25">
      <c r="A3" s="107" t="s">
        <v>41</v>
      </c>
      <c r="B3" s="70">
        <f>SUM(B23:B25)</f>
        <v>140</v>
      </c>
      <c r="C3" s="70">
        <f t="shared" ref="C3" si="1">SUM(C23:C25)</f>
        <v>118</v>
      </c>
      <c r="D3" s="71">
        <f>SUM(D23:D25)</f>
        <v>139</v>
      </c>
      <c r="G3" s="112" t="s">
        <v>41</v>
      </c>
      <c r="H3" s="75">
        <f>B3/B30</f>
        <v>0.31531531531531531</v>
      </c>
      <c r="I3" s="75">
        <f>C3/C30</f>
        <v>0.30490956072351422</v>
      </c>
      <c r="J3" s="75">
        <f>D3/SUM(D$2:D$4)</f>
        <v>0.28659793814432988</v>
      </c>
      <c r="K3" s="76">
        <f>SUM(F37:F39)*K$6</f>
        <v>0.29577431201411741</v>
      </c>
      <c r="L3" s="76">
        <f>SUM(G37:G39)*L$6</f>
        <v>0.33830845771144274</v>
      </c>
      <c r="M3" s="76">
        <f>SUM(H37:H39)*M$6</f>
        <v>0.34747780904957781</v>
      </c>
      <c r="N3" s="78">
        <f t="shared" ref="N3:N6" si="2">AVERAGE(L3:M3)</f>
        <v>0.34289313338051031</v>
      </c>
    </row>
    <row r="4" spans="1:16" x14ac:dyDescent="0.25">
      <c r="A4" s="108" t="s">
        <v>40</v>
      </c>
      <c r="B4" s="73">
        <f>SUM(B26:B28)</f>
        <v>112</v>
      </c>
      <c r="C4" s="73">
        <f t="shared" ref="C4" si="3">SUM(C26:C28)</f>
        <v>66</v>
      </c>
      <c r="D4" s="74">
        <f>SUM(D26:D28)</f>
        <v>65</v>
      </c>
      <c r="G4" s="112" t="s">
        <v>40</v>
      </c>
      <c r="H4" s="75">
        <f>1-H2-H3</f>
        <v>0.26351351351351349</v>
      </c>
      <c r="I4" s="75">
        <f>C4/C30</f>
        <v>0.17054263565891473</v>
      </c>
      <c r="J4" s="75">
        <f>D4/SUM(D$2:D$4)</f>
        <v>0.13402061855670103</v>
      </c>
      <c r="K4" s="76">
        <f>F40*K$6</f>
        <v>0.15824867649162969</v>
      </c>
      <c r="L4" s="76">
        <f>G40*L$6</f>
        <v>0.18739635157545603</v>
      </c>
      <c r="M4" s="76">
        <f>H40*M$6</f>
        <v>0.19751370198607579</v>
      </c>
      <c r="N4" s="78">
        <f t="shared" si="2"/>
        <v>0.19245502678076593</v>
      </c>
    </row>
    <row r="5" spans="1:16" x14ac:dyDescent="0.25">
      <c r="G5" s="107"/>
      <c r="H5" s="70"/>
      <c r="I5" s="70"/>
      <c r="J5" s="70"/>
      <c r="K5" s="77"/>
      <c r="L5" s="77"/>
      <c r="M5" s="76">
        <f>SUM(M2:M4)</f>
        <v>1</v>
      </c>
      <c r="N5" s="78">
        <f>SUM(N2:N4)</f>
        <v>1</v>
      </c>
    </row>
    <row r="6" spans="1:16" x14ac:dyDescent="0.25">
      <c r="G6" s="113" t="s">
        <v>98</v>
      </c>
      <c r="H6" s="79">
        <f>1-H2</f>
        <v>0.5788288288288288</v>
      </c>
      <c r="I6" s="79">
        <f>1-I2</f>
        <v>0.47803617571059431</v>
      </c>
      <c r="J6" s="79">
        <f t="shared" ref="J6" si="4">1-J2</f>
        <v>0.42061855670103088</v>
      </c>
      <c r="K6" s="79">
        <f>1-K2</f>
        <v>0.45402298850574707</v>
      </c>
      <c r="L6" s="79">
        <f t="shared" ref="L6:M6" si="5">1-L2</f>
        <v>0.52570480928689878</v>
      </c>
      <c r="M6" s="79">
        <f t="shared" si="5"/>
        <v>0.54499151103565358</v>
      </c>
      <c r="N6" s="80">
        <f t="shared" si="2"/>
        <v>0.53534816016127618</v>
      </c>
    </row>
    <row r="7" spans="1:16" x14ac:dyDescent="0.25">
      <c r="G7" s="52"/>
      <c r="H7" s="54"/>
      <c r="I7" s="54"/>
      <c r="J7" s="54"/>
      <c r="K7" s="54"/>
      <c r="L7" s="54"/>
      <c r="M7" s="54"/>
      <c r="N7" s="54"/>
    </row>
    <row r="8" spans="1:16" x14ac:dyDescent="0.25">
      <c r="B8" s="19"/>
      <c r="C8" s="19"/>
      <c r="D8" s="19"/>
      <c r="E8" s="19"/>
      <c r="F8" s="19"/>
      <c r="G8" s="19"/>
      <c r="K8" s="54"/>
    </row>
    <row r="9" spans="1:16" s="20" customFormat="1" x14ac:dyDescent="0.25">
      <c r="A9" s="66" t="s">
        <v>285</v>
      </c>
      <c r="B9" s="67"/>
      <c r="C9" s="67"/>
      <c r="D9" s="67"/>
      <c r="E9" s="67"/>
      <c r="F9" s="67"/>
      <c r="G9" s="68"/>
      <c r="I9" s="66" t="s">
        <v>286</v>
      </c>
      <c r="J9" s="67"/>
      <c r="K9" s="67"/>
      <c r="L9" s="67"/>
      <c r="M9" s="67"/>
      <c r="N9" s="67"/>
      <c r="O9" s="67"/>
      <c r="P9" s="68"/>
    </row>
    <row r="10" spans="1:16" s="20" customFormat="1" x14ac:dyDescent="0.25">
      <c r="A10" s="109" t="s">
        <v>18</v>
      </c>
      <c r="B10" s="110" t="s">
        <v>24</v>
      </c>
      <c r="C10" s="110" t="s">
        <v>25</v>
      </c>
      <c r="D10" s="110" t="s">
        <v>33</v>
      </c>
      <c r="E10" s="110" t="s">
        <v>34</v>
      </c>
      <c r="F10" s="110" t="s">
        <v>35</v>
      </c>
      <c r="G10" s="111" t="s">
        <v>36</v>
      </c>
      <c r="I10" s="109" t="s">
        <v>18</v>
      </c>
      <c r="J10" s="110" t="s">
        <v>101</v>
      </c>
      <c r="K10" s="110" t="s">
        <v>56</v>
      </c>
      <c r="L10" s="110" t="s">
        <v>99</v>
      </c>
      <c r="M10" s="110" t="s">
        <v>280</v>
      </c>
      <c r="N10" s="110" t="s">
        <v>281</v>
      </c>
      <c r="O10" s="110" t="s">
        <v>282</v>
      </c>
      <c r="P10" s="111" t="s">
        <v>284</v>
      </c>
    </row>
    <row r="11" spans="1:16" x14ac:dyDescent="0.25">
      <c r="A11" s="107" t="s">
        <v>19</v>
      </c>
      <c r="B11" s="70">
        <f>B23</f>
        <v>67</v>
      </c>
      <c r="C11" s="70">
        <f t="shared" ref="C11" si="6">C23</f>
        <v>67</v>
      </c>
      <c r="D11" s="70">
        <f>D23</f>
        <v>86</v>
      </c>
      <c r="E11" s="70">
        <f>E23</f>
        <v>94</v>
      </c>
      <c r="F11" s="70">
        <f>F23</f>
        <v>120</v>
      </c>
      <c r="G11" s="71">
        <f>G23</f>
        <v>110</v>
      </c>
      <c r="I11" s="107" t="s">
        <v>19</v>
      </c>
      <c r="J11" s="75">
        <f t="shared" ref="J11:O13" si="7">B11/SUM(B$11:B$13)</f>
        <v>0.47857142857142859</v>
      </c>
      <c r="K11" s="75">
        <f t="shared" si="7"/>
        <v>0.56779661016949157</v>
      </c>
      <c r="L11" s="75">
        <f t="shared" si="7"/>
        <v>0.61870503597122306</v>
      </c>
      <c r="M11" s="75">
        <f t="shared" si="7"/>
        <v>0.59872611464968151</v>
      </c>
      <c r="N11" s="75">
        <f t="shared" si="7"/>
        <v>0.58823529411764708</v>
      </c>
      <c r="O11" s="75">
        <f t="shared" si="7"/>
        <v>0.57894736842105265</v>
      </c>
      <c r="P11" s="78">
        <f>AVERAGE(N11:O11)</f>
        <v>0.58359133126934992</v>
      </c>
    </row>
    <row r="12" spans="1:16" x14ac:dyDescent="0.25">
      <c r="A12" s="107" t="s">
        <v>20</v>
      </c>
      <c r="B12" s="70">
        <f t="shared" ref="B12:D13" si="8">B24</f>
        <v>29</v>
      </c>
      <c r="C12" s="70">
        <f t="shared" si="8"/>
        <v>20</v>
      </c>
      <c r="D12" s="70">
        <f t="shared" si="8"/>
        <v>6</v>
      </c>
      <c r="E12" s="70">
        <f t="shared" ref="E12:F12" si="9">E24</f>
        <v>0</v>
      </c>
      <c r="F12" s="70">
        <f t="shared" si="9"/>
        <v>0</v>
      </c>
      <c r="G12" s="71">
        <f t="shared" ref="G12" si="10">G24</f>
        <v>0</v>
      </c>
      <c r="I12" s="107" t="s">
        <v>20</v>
      </c>
      <c r="J12" s="75">
        <f t="shared" si="7"/>
        <v>0.20714285714285716</v>
      </c>
      <c r="K12" s="75">
        <f t="shared" si="7"/>
        <v>0.16949152542372881</v>
      </c>
      <c r="L12" s="75">
        <f t="shared" si="7"/>
        <v>4.3165467625899283E-2</v>
      </c>
      <c r="M12" s="75">
        <f t="shared" si="7"/>
        <v>0</v>
      </c>
      <c r="N12" s="75">
        <f t="shared" si="7"/>
        <v>0</v>
      </c>
      <c r="O12" s="75">
        <f t="shared" si="7"/>
        <v>0</v>
      </c>
      <c r="P12" s="78">
        <f t="shared" ref="P12:P13" si="11">AVERAGE(N12:O12)</f>
        <v>0</v>
      </c>
    </row>
    <row r="13" spans="1:16" x14ac:dyDescent="0.25">
      <c r="A13" s="108" t="s">
        <v>21</v>
      </c>
      <c r="B13" s="73">
        <f t="shared" si="8"/>
        <v>44</v>
      </c>
      <c r="C13" s="73">
        <f t="shared" si="8"/>
        <v>31</v>
      </c>
      <c r="D13" s="73">
        <f>D25</f>
        <v>47</v>
      </c>
      <c r="E13" s="73">
        <f>E25</f>
        <v>63</v>
      </c>
      <c r="F13" s="73">
        <f>F25</f>
        <v>84</v>
      </c>
      <c r="G13" s="74">
        <f>G25</f>
        <v>80</v>
      </c>
      <c r="I13" s="108" t="s">
        <v>21</v>
      </c>
      <c r="J13" s="82">
        <f t="shared" si="7"/>
        <v>0.31428571428571428</v>
      </c>
      <c r="K13" s="82">
        <f t="shared" si="7"/>
        <v>0.26271186440677968</v>
      </c>
      <c r="L13" s="82">
        <f t="shared" si="7"/>
        <v>0.33812949640287771</v>
      </c>
      <c r="M13" s="82">
        <f t="shared" si="7"/>
        <v>0.40127388535031849</v>
      </c>
      <c r="N13" s="82">
        <f t="shared" si="7"/>
        <v>0.41176470588235292</v>
      </c>
      <c r="O13" s="82">
        <f t="shared" si="7"/>
        <v>0.42105263157894735</v>
      </c>
      <c r="P13" s="80">
        <f t="shared" si="11"/>
        <v>0.41640866873065013</v>
      </c>
    </row>
    <row r="16" spans="1:16" x14ac:dyDescent="0.25">
      <c r="I16" s="109" t="s">
        <v>131</v>
      </c>
      <c r="J16" s="114"/>
      <c r="K16" s="52"/>
      <c r="L16" s="66" t="s">
        <v>132</v>
      </c>
      <c r="M16" s="106"/>
    </row>
    <row r="17" spans="1:13" x14ac:dyDescent="0.25">
      <c r="I17" s="107" t="s">
        <v>130</v>
      </c>
      <c r="J17" s="103">
        <f>159/260</f>
        <v>0.61153846153846159</v>
      </c>
      <c r="L17" s="69" t="s">
        <v>130</v>
      </c>
      <c r="M17" s="103">
        <v>0.27050898203592799</v>
      </c>
    </row>
    <row r="18" spans="1:13" x14ac:dyDescent="0.25">
      <c r="I18" s="107" t="s">
        <v>129</v>
      </c>
      <c r="J18" s="103">
        <f>149/238</f>
        <v>0.62605042016806722</v>
      </c>
      <c r="L18" s="69" t="s">
        <v>129</v>
      </c>
      <c r="M18" s="103">
        <v>0.23585632804069601</v>
      </c>
    </row>
    <row r="19" spans="1:13" x14ac:dyDescent="0.25">
      <c r="A19" s="83"/>
      <c r="B19" s="84" t="s">
        <v>24</v>
      </c>
      <c r="C19" s="84" t="s">
        <v>25</v>
      </c>
      <c r="D19" s="84" t="s">
        <v>33</v>
      </c>
      <c r="E19" s="84" t="s">
        <v>34</v>
      </c>
      <c r="F19" s="84" t="s">
        <v>35</v>
      </c>
      <c r="G19" s="85" t="s">
        <v>36</v>
      </c>
      <c r="I19" s="107" t="s">
        <v>128</v>
      </c>
      <c r="J19" s="103">
        <f>130/226</f>
        <v>0.5752212389380531</v>
      </c>
      <c r="L19" s="69" t="s">
        <v>128</v>
      </c>
      <c r="M19" s="103">
        <v>0.20892994611239399</v>
      </c>
    </row>
    <row r="20" spans="1:13" x14ac:dyDescent="0.25">
      <c r="A20" s="86"/>
      <c r="B20" s="51" t="s">
        <v>79</v>
      </c>
      <c r="C20" s="51" t="s">
        <v>80</v>
      </c>
      <c r="D20" s="51" t="s">
        <v>79</v>
      </c>
      <c r="E20" s="51" t="s">
        <v>79</v>
      </c>
      <c r="F20" s="51" t="s">
        <v>277</v>
      </c>
      <c r="G20" s="87" t="s">
        <v>278</v>
      </c>
      <c r="I20" s="107" t="s">
        <v>127</v>
      </c>
      <c r="J20" s="103">
        <f>129/221</f>
        <v>0.58371040723981904</v>
      </c>
      <c r="L20" s="69" t="s">
        <v>127</v>
      </c>
      <c r="M20" s="103">
        <v>0.20620373107808199</v>
      </c>
    </row>
    <row r="21" spans="1:13" ht="15.75" thickBot="1" x14ac:dyDescent="0.3">
      <c r="A21" s="88"/>
      <c r="B21" s="50"/>
      <c r="C21" s="50"/>
      <c r="D21" s="50"/>
      <c r="E21" s="51"/>
      <c r="F21" s="51"/>
      <c r="G21" s="87"/>
      <c r="I21" s="107" t="s">
        <v>126</v>
      </c>
      <c r="J21" s="103">
        <f>134/268</f>
        <v>0.5</v>
      </c>
      <c r="L21" s="69" t="s">
        <v>126</v>
      </c>
      <c r="M21" s="103">
        <v>0.19665612655044701</v>
      </c>
    </row>
    <row r="22" spans="1:13" x14ac:dyDescent="0.25">
      <c r="A22" s="89" t="s">
        <v>81</v>
      </c>
      <c r="B22" s="90">
        <v>187</v>
      </c>
      <c r="C22" s="90">
        <v>202</v>
      </c>
      <c r="D22" s="90">
        <v>267</v>
      </c>
      <c r="E22" s="90">
        <v>285</v>
      </c>
      <c r="F22" s="90">
        <v>286</v>
      </c>
      <c r="G22" s="91">
        <v>268</v>
      </c>
      <c r="I22" s="107" t="s">
        <v>125</v>
      </c>
      <c r="J22" s="103">
        <f>131/274</f>
        <v>0.47810218978102192</v>
      </c>
      <c r="L22" s="69" t="s">
        <v>125</v>
      </c>
      <c r="M22" s="103">
        <v>0.15717666970039801</v>
      </c>
    </row>
    <row r="23" spans="1:13" x14ac:dyDescent="0.25">
      <c r="A23" s="92" t="s">
        <v>82</v>
      </c>
      <c r="B23" s="93">
        <v>67</v>
      </c>
      <c r="C23" s="93">
        <v>67</v>
      </c>
      <c r="D23" s="93">
        <v>86</v>
      </c>
      <c r="E23" s="93">
        <v>94</v>
      </c>
      <c r="F23" s="93">
        <v>120</v>
      </c>
      <c r="G23" s="94">
        <v>110</v>
      </c>
      <c r="I23" s="107" t="s">
        <v>95</v>
      </c>
      <c r="J23" s="104">
        <v>0.57299999999999995</v>
      </c>
      <c r="L23" s="69" t="s">
        <v>95</v>
      </c>
      <c r="M23" s="103">
        <v>0.18624995492834301</v>
      </c>
    </row>
    <row r="24" spans="1:13" x14ac:dyDescent="0.25">
      <c r="A24" s="92" t="s">
        <v>83</v>
      </c>
      <c r="B24" s="93">
        <v>29</v>
      </c>
      <c r="C24" s="93">
        <v>20</v>
      </c>
      <c r="D24" s="93">
        <v>6</v>
      </c>
      <c r="E24" s="93">
        <v>0</v>
      </c>
      <c r="F24" s="93">
        <v>0</v>
      </c>
      <c r="G24" s="94">
        <v>0</v>
      </c>
      <c r="I24" s="107" t="s">
        <v>22</v>
      </c>
      <c r="J24" s="104">
        <f>152/279</f>
        <v>0.54480286738351258</v>
      </c>
      <c r="L24" s="69" t="s">
        <v>22</v>
      </c>
      <c r="M24" s="103">
        <v>0.19847510811337099</v>
      </c>
    </row>
    <row r="25" spans="1:13" x14ac:dyDescent="0.25">
      <c r="A25" s="92" t="s">
        <v>84</v>
      </c>
      <c r="B25" s="93">
        <v>44</v>
      </c>
      <c r="C25" s="93">
        <v>31</v>
      </c>
      <c r="D25" s="93">
        <v>47</v>
      </c>
      <c r="E25" s="93">
        <v>63</v>
      </c>
      <c r="F25" s="93">
        <v>84</v>
      </c>
      <c r="G25" s="94">
        <v>80</v>
      </c>
      <c r="I25" s="107" t="s">
        <v>23</v>
      </c>
      <c r="J25" s="104">
        <f>219/593</f>
        <v>0.36930860033726814</v>
      </c>
      <c r="L25" s="69" t="s">
        <v>23</v>
      </c>
      <c r="M25" s="103">
        <v>0.19715139659418199</v>
      </c>
    </row>
    <row r="26" spans="1:13" x14ac:dyDescent="0.25">
      <c r="A26" s="92" t="s">
        <v>85</v>
      </c>
      <c r="B26" s="93">
        <v>79</v>
      </c>
      <c r="C26" s="93">
        <v>52</v>
      </c>
      <c r="D26" s="93">
        <v>47</v>
      </c>
      <c r="E26" s="93">
        <v>63</v>
      </c>
      <c r="F26" s="93">
        <v>84</v>
      </c>
      <c r="G26" s="94">
        <v>80</v>
      </c>
      <c r="I26" s="107" t="s">
        <v>24</v>
      </c>
      <c r="J26" s="104">
        <f>187/444</f>
        <v>0.42117117117117114</v>
      </c>
      <c r="K26" s="60"/>
      <c r="L26" s="69" t="s">
        <v>24</v>
      </c>
      <c r="M26" s="103">
        <v>0.15202055927990599</v>
      </c>
    </row>
    <row r="27" spans="1:13" x14ac:dyDescent="0.25">
      <c r="A27" s="92" t="s">
        <v>86</v>
      </c>
      <c r="B27" s="93">
        <v>28</v>
      </c>
      <c r="C27" s="93">
        <v>14</v>
      </c>
      <c r="D27" s="93">
        <v>14</v>
      </c>
      <c r="E27" s="93">
        <v>17</v>
      </c>
      <c r="F27" s="93">
        <v>24</v>
      </c>
      <c r="G27" s="94">
        <v>24</v>
      </c>
      <c r="I27" s="107" t="s">
        <v>25</v>
      </c>
      <c r="J27" s="104">
        <f>202/387</f>
        <v>0.52196382428940569</v>
      </c>
      <c r="K27" s="60"/>
      <c r="L27" s="72" t="s">
        <v>25</v>
      </c>
      <c r="M27" s="105">
        <v>0.16064934816805601</v>
      </c>
    </row>
    <row r="28" spans="1:13" x14ac:dyDescent="0.25">
      <c r="A28" s="92" t="s">
        <v>87</v>
      </c>
      <c r="B28" s="93">
        <v>5</v>
      </c>
      <c r="C28" s="93" t="s">
        <v>88</v>
      </c>
      <c r="D28" s="93">
        <v>4</v>
      </c>
      <c r="E28" s="93">
        <v>4</v>
      </c>
      <c r="F28" s="93">
        <v>5</v>
      </c>
      <c r="G28" s="94">
        <v>4</v>
      </c>
      <c r="I28" s="107" t="s">
        <v>33</v>
      </c>
      <c r="J28" s="104">
        <f>D22/D30</f>
        <v>0.56687898089171973</v>
      </c>
      <c r="K28" s="60"/>
    </row>
    <row r="29" spans="1:13" x14ac:dyDescent="0.25">
      <c r="A29" s="95" t="s">
        <v>89</v>
      </c>
      <c r="B29" s="90">
        <v>258</v>
      </c>
      <c r="C29" s="90">
        <v>185</v>
      </c>
      <c r="D29" s="90">
        <v>204</v>
      </c>
      <c r="E29" s="90">
        <v>241</v>
      </c>
      <c r="F29" s="90">
        <v>317</v>
      </c>
      <c r="G29" s="91">
        <v>298</v>
      </c>
      <c r="I29" s="107" t="s">
        <v>34</v>
      </c>
      <c r="J29" s="103">
        <f>E22/SUM(E22:E27)</f>
        <v>0.54597701149425293</v>
      </c>
    </row>
    <row r="30" spans="1:13" x14ac:dyDescent="0.25">
      <c r="A30" s="96" t="s">
        <v>90</v>
      </c>
      <c r="B30" s="97">
        <v>444</v>
      </c>
      <c r="C30" s="97">
        <v>387</v>
      </c>
      <c r="D30" s="97">
        <v>471</v>
      </c>
      <c r="E30" s="97">
        <v>526</v>
      </c>
      <c r="F30" s="97">
        <v>603</v>
      </c>
      <c r="G30" s="98">
        <v>589</v>
      </c>
      <c r="I30" s="107" t="s">
        <v>35</v>
      </c>
      <c r="J30" s="103">
        <f>F22/F30</f>
        <v>0.47429519071310117</v>
      </c>
      <c r="K30" s="19"/>
    </row>
    <row r="31" spans="1:13" x14ac:dyDescent="0.25">
      <c r="I31" s="108" t="s">
        <v>36</v>
      </c>
      <c r="J31" s="105">
        <f>G22/G30</f>
        <v>0.45500848896434637</v>
      </c>
    </row>
    <row r="32" spans="1:13" x14ac:dyDescent="0.25">
      <c r="I32" t="s">
        <v>287</v>
      </c>
      <c r="J32" s="19">
        <f>AVERAGE(J29:J31)</f>
        <v>0.49176023039056682</v>
      </c>
    </row>
    <row r="36" spans="1:17" x14ac:dyDescent="0.25">
      <c r="A36" s="66" t="s">
        <v>91</v>
      </c>
      <c r="B36" s="67" t="s">
        <v>23</v>
      </c>
      <c r="C36" s="67" t="s">
        <v>94</v>
      </c>
      <c r="D36" s="67" t="s">
        <v>93</v>
      </c>
      <c r="E36" s="67" t="s">
        <v>92</v>
      </c>
      <c r="F36" s="67" t="s">
        <v>203</v>
      </c>
      <c r="G36" s="67" t="s">
        <v>276</v>
      </c>
      <c r="H36" s="68" t="s">
        <v>279</v>
      </c>
    </row>
    <row r="37" spans="1:17" x14ac:dyDescent="0.25">
      <c r="A37" s="69" t="s">
        <v>82</v>
      </c>
      <c r="B37" s="99">
        <v>0.34491978609625668</v>
      </c>
      <c r="C37" s="99">
        <v>0.2627450980392157</v>
      </c>
      <c r="D37" s="99">
        <v>0.3641304347826087</v>
      </c>
      <c r="E37" s="99">
        <f>D23/D29</f>
        <v>0.42156862745098039</v>
      </c>
      <c r="F37" s="99">
        <f>E23/E29</f>
        <v>0.39004149377593361</v>
      </c>
      <c r="G37" s="99">
        <f>F23/F29</f>
        <v>0.37854889589905361</v>
      </c>
      <c r="H37" s="100">
        <f>G23/G29</f>
        <v>0.36912751677852351</v>
      </c>
      <c r="M37" s="53"/>
      <c r="N37" s="53"/>
    </row>
    <row r="38" spans="1:17" x14ac:dyDescent="0.25">
      <c r="A38" s="69" t="s">
        <v>83</v>
      </c>
      <c r="B38" s="99">
        <v>0.1497326203208556</v>
      </c>
      <c r="C38" s="99">
        <v>0.11372549019607843</v>
      </c>
      <c r="D38" s="99">
        <v>0.10869565217391304</v>
      </c>
      <c r="E38" s="99">
        <f>D24/D29</f>
        <v>2.9411764705882353E-2</v>
      </c>
      <c r="F38" s="99">
        <f>E24/E29</f>
        <v>0</v>
      </c>
      <c r="G38" s="99">
        <f>F24/F29</f>
        <v>0</v>
      </c>
      <c r="H38" s="100">
        <f>G24/G29</f>
        <v>0</v>
      </c>
      <c r="M38" s="53"/>
      <c r="N38" s="53"/>
    </row>
    <row r="39" spans="1:17" x14ac:dyDescent="0.25">
      <c r="A39" s="69" t="s">
        <v>84</v>
      </c>
      <c r="B39" s="99">
        <v>0.21925133689839571</v>
      </c>
      <c r="C39" s="99">
        <v>0.15686274509803921</v>
      </c>
      <c r="D39" s="99">
        <v>0.16847826086956522</v>
      </c>
      <c r="E39" s="99">
        <f>D25/D29</f>
        <v>0.23039215686274508</v>
      </c>
      <c r="F39" s="99">
        <f>E25/E29</f>
        <v>0.26141078838174275</v>
      </c>
      <c r="G39" s="99">
        <f>F25/F29</f>
        <v>0.26498422712933756</v>
      </c>
      <c r="H39" s="100">
        <f>G25/G29</f>
        <v>0.26845637583892618</v>
      </c>
      <c r="M39" s="53"/>
      <c r="N39" s="53"/>
    </row>
    <row r="40" spans="1:17" x14ac:dyDescent="0.25">
      <c r="A40" s="69" t="s">
        <v>96</v>
      </c>
      <c r="B40" s="99">
        <v>0.28609625668449196</v>
      </c>
      <c r="C40" s="99">
        <v>0.46666666666666667</v>
      </c>
      <c r="D40" s="99">
        <v>0.35869565217391303</v>
      </c>
      <c r="E40" s="99">
        <f>SUM(D26:D28)/D29</f>
        <v>0.31862745098039214</v>
      </c>
      <c r="F40" s="99">
        <f>SUM(E26:E28)/E29</f>
        <v>0.34854771784232363</v>
      </c>
      <c r="G40" s="99">
        <f>SUM(F26:F28)/F29</f>
        <v>0.35646687697160884</v>
      </c>
      <c r="H40" s="100">
        <f>SUM(G26:G28)/G29</f>
        <v>0.36241610738255031</v>
      </c>
      <c r="M40" s="53"/>
      <c r="N40" s="53"/>
      <c r="Q40" s="64"/>
    </row>
    <row r="41" spans="1:17" x14ac:dyDescent="0.25">
      <c r="A41" s="72"/>
      <c r="B41" s="73"/>
      <c r="C41" s="73"/>
      <c r="D41" s="73"/>
      <c r="E41" s="101">
        <f>SUM(E37:E40)</f>
        <v>1</v>
      </c>
      <c r="F41" s="101">
        <f>SUM(F37:F40)</f>
        <v>1</v>
      </c>
      <c r="G41" s="101">
        <f>SUM(G37:G40)</f>
        <v>1</v>
      </c>
      <c r="H41" s="102">
        <f>SUM(H37:H40)</f>
        <v>1</v>
      </c>
    </row>
    <row r="43" spans="1:17" x14ac:dyDescent="0.25">
      <c r="A43" t="s">
        <v>97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A8114-85A4-4459-AF2E-EB80FAA87B37}">
  <sheetPr>
    <tabColor theme="2" tint="-9.9978637043366805E-2"/>
  </sheetPr>
  <dimension ref="A1:CD71"/>
  <sheetViews>
    <sheetView zoomScale="85" zoomScaleNormal="85" workbookViewId="0">
      <pane xSplit="1" topLeftCell="B1" activePane="topRight" state="frozen"/>
      <selection activeCell="L8" sqref="L8"/>
      <selection pane="topRight" activeCell="E24" sqref="E24"/>
    </sheetView>
  </sheetViews>
  <sheetFormatPr defaultRowHeight="15" x14ac:dyDescent="0.25"/>
  <cols>
    <col min="1" max="1" width="41" customWidth="1"/>
    <col min="2" max="2" width="15.85546875" customWidth="1"/>
    <col min="3" max="11" width="12.140625" bestFit="1" customWidth="1"/>
    <col min="12" max="14" width="11.5703125" bestFit="1" customWidth="1"/>
    <col min="15" max="15" width="19.7109375" bestFit="1" customWidth="1"/>
    <col min="16" max="22" width="12.140625" bestFit="1" customWidth="1"/>
    <col min="23" max="32" width="11.5703125" bestFit="1" customWidth="1"/>
    <col min="33" max="33" width="12.85546875" bestFit="1" customWidth="1"/>
    <col min="34" max="39" width="11.5703125" bestFit="1" customWidth="1"/>
    <col min="40" max="47" width="12.85546875" bestFit="1" customWidth="1"/>
    <col min="48" max="49" width="11.5703125" bestFit="1" customWidth="1"/>
    <col min="50" max="82" width="13.28515625" bestFit="1" customWidth="1"/>
  </cols>
  <sheetData>
    <row r="1" spans="1:15" x14ac:dyDescent="0.25">
      <c r="A1" s="122" t="s">
        <v>38</v>
      </c>
      <c r="B1" s="110" t="s">
        <v>24</v>
      </c>
      <c r="C1" s="110" t="s">
        <v>25</v>
      </c>
      <c r="D1" s="110" t="s">
        <v>33</v>
      </c>
      <c r="E1" s="110" t="s">
        <v>34</v>
      </c>
      <c r="F1" s="110" t="s">
        <v>35</v>
      </c>
      <c r="G1" s="110" t="s">
        <v>36</v>
      </c>
      <c r="H1" s="110" t="s">
        <v>37</v>
      </c>
      <c r="I1" s="110" t="s">
        <v>76</v>
      </c>
      <c r="J1" s="110" t="s">
        <v>77</v>
      </c>
      <c r="K1" s="111" t="s">
        <v>78</v>
      </c>
    </row>
    <row r="2" spans="1:15" x14ac:dyDescent="0.25">
      <c r="A2" s="115" t="s">
        <v>39</v>
      </c>
      <c r="B2" s="116">
        <f>Decomposition!H2</f>
        <v>0.42117117117117114</v>
      </c>
      <c r="C2" s="116">
        <f>Decomposition!I2</f>
        <v>0.52196382428940569</v>
      </c>
      <c r="D2" s="116">
        <f>Decomposition!J2</f>
        <v>0.57938144329896912</v>
      </c>
      <c r="E2" s="116">
        <f>Decomposition!K2</f>
        <v>0.54597701149425293</v>
      </c>
      <c r="F2" s="116">
        <f>Decomposition!L2</f>
        <v>0.47429519071310117</v>
      </c>
      <c r="G2" s="116">
        <f>Decomposition!M2</f>
        <v>0.45500848896434637</v>
      </c>
      <c r="H2" s="116">
        <f>Decomposition!N2</f>
        <v>0.46465183983872377</v>
      </c>
      <c r="I2" s="116">
        <f t="shared" ref="I2:K2" si="0">H2</f>
        <v>0.46465183983872377</v>
      </c>
      <c r="J2" s="116">
        <f t="shared" si="0"/>
        <v>0.46465183983872377</v>
      </c>
      <c r="K2" s="117">
        <f t="shared" si="0"/>
        <v>0.46465183983872377</v>
      </c>
      <c r="L2" s="46"/>
      <c r="M2" s="46"/>
      <c r="N2" s="46"/>
    </row>
    <row r="3" spans="1:15" x14ac:dyDescent="0.25">
      <c r="A3" s="115" t="s">
        <v>40</v>
      </c>
      <c r="B3" s="118">
        <f>Decomposition!H4</f>
        <v>0.26351351351351349</v>
      </c>
      <c r="C3" s="118">
        <f>Decomposition!I4</f>
        <v>0.17054263565891473</v>
      </c>
      <c r="D3" s="118">
        <f>Decomposition!J4</f>
        <v>0.13402061855670103</v>
      </c>
      <c r="E3" s="118">
        <f>Decomposition!K4</f>
        <v>0.15824867649162969</v>
      </c>
      <c r="F3" s="118">
        <f>Decomposition!L4</f>
        <v>0.18739635157545603</v>
      </c>
      <c r="G3" s="118">
        <f>Decomposition!M4</f>
        <v>0.19751370198607579</v>
      </c>
      <c r="H3" s="118">
        <f>Decomposition!N4</f>
        <v>0.19245502678076593</v>
      </c>
      <c r="I3" s="116">
        <f t="shared" ref="I3:K4" si="1">H3</f>
        <v>0.19245502678076593</v>
      </c>
      <c r="J3" s="116">
        <f t="shared" si="1"/>
        <v>0.19245502678076593</v>
      </c>
      <c r="K3" s="117">
        <f t="shared" si="1"/>
        <v>0.19245502678076593</v>
      </c>
      <c r="L3" s="46"/>
      <c r="M3" s="46"/>
      <c r="N3" s="46"/>
    </row>
    <row r="4" spans="1:15" x14ac:dyDescent="0.25">
      <c r="A4" s="119" t="s">
        <v>41</v>
      </c>
      <c r="B4" s="120">
        <f>Decomposition!H3</f>
        <v>0.31531531531531531</v>
      </c>
      <c r="C4" s="120">
        <f>Decomposition!I3</f>
        <v>0.30490956072351422</v>
      </c>
      <c r="D4" s="120">
        <f>Decomposition!J3</f>
        <v>0.28659793814432988</v>
      </c>
      <c r="E4" s="120">
        <f>Decomposition!K3</f>
        <v>0.29577431201411741</v>
      </c>
      <c r="F4" s="120">
        <f>Decomposition!L3</f>
        <v>0.33830845771144274</v>
      </c>
      <c r="G4" s="120">
        <f>Decomposition!M3</f>
        <v>0.34747780904957781</v>
      </c>
      <c r="H4" s="120">
        <f>Decomposition!N3</f>
        <v>0.34289313338051031</v>
      </c>
      <c r="I4" s="120">
        <f t="shared" si="1"/>
        <v>0.34289313338051031</v>
      </c>
      <c r="J4" s="120">
        <f t="shared" si="1"/>
        <v>0.34289313338051031</v>
      </c>
      <c r="K4" s="121">
        <f t="shared" si="1"/>
        <v>0.34289313338051031</v>
      </c>
      <c r="L4" s="46"/>
      <c r="M4" s="46"/>
      <c r="N4" s="46"/>
    </row>
    <row r="5" spans="1:15" x14ac:dyDescent="0.25">
      <c r="A5" s="22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5" x14ac:dyDescent="0.25">
      <c r="A6" s="122" t="s">
        <v>100</v>
      </c>
      <c r="B6" s="110" t="s">
        <v>24</v>
      </c>
      <c r="C6" s="110" t="s">
        <v>25</v>
      </c>
      <c r="D6" s="110" t="s">
        <v>33</v>
      </c>
      <c r="E6" s="110" t="s">
        <v>34</v>
      </c>
      <c r="F6" s="110" t="s">
        <v>35</v>
      </c>
      <c r="G6" s="110" t="s">
        <v>36</v>
      </c>
      <c r="H6" s="110" t="s">
        <v>37</v>
      </c>
      <c r="I6" s="110" t="s">
        <v>76</v>
      </c>
      <c r="J6" s="110" t="s">
        <v>77</v>
      </c>
      <c r="K6" s="111" t="s">
        <v>78</v>
      </c>
    </row>
    <row r="7" spans="1:15" x14ac:dyDescent="0.25">
      <c r="A7" s="115" t="s">
        <v>82</v>
      </c>
      <c r="B7" s="116">
        <f>Decomposition!J11</f>
        <v>0.47857142857142859</v>
      </c>
      <c r="C7" s="116">
        <f>Decomposition!K11</f>
        <v>0.56779661016949157</v>
      </c>
      <c r="D7" s="116">
        <f>Decomposition!L11</f>
        <v>0.61870503597122306</v>
      </c>
      <c r="E7" s="116">
        <f>Decomposition!M11</f>
        <v>0.59872611464968151</v>
      </c>
      <c r="F7" s="116">
        <f>Decomposition!N11</f>
        <v>0.58823529411764708</v>
      </c>
      <c r="G7" s="116">
        <f>Decomposition!O11</f>
        <v>0.57894736842105265</v>
      </c>
      <c r="H7" s="116">
        <f>Decomposition!P11</f>
        <v>0.58359133126934992</v>
      </c>
      <c r="I7" s="116">
        <f t="shared" ref="I7:K7" si="2">H7</f>
        <v>0.58359133126934992</v>
      </c>
      <c r="J7" s="116">
        <f t="shared" si="2"/>
        <v>0.58359133126934992</v>
      </c>
      <c r="K7" s="117">
        <f t="shared" si="2"/>
        <v>0.58359133126934992</v>
      </c>
      <c r="L7" s="46"/>
      <c r="M7" s="46"/>
      <c r="N7" s="46"/>
    </row>
    <row r="8" spans="1:15" x14ac:dyDescent="0.25">
      <c r="A8" s="115" t="s">
        <v>83</v>
      </c>
      <c r="B8" s="116">
        <f>Decomposition!J12</f>
        <v>0.20714285714285716</v>
      </c>
      <c r="C8" s="116">
        <f>Decomposition!K12</f>
        <v>0.16949152542372881</v>
      </c>
      <c r="D8" s="116">
        <f>Decomposition!L12</f>
        <v>4.3165467625899283E-2</v>
      </c>
      <c r="E8" s="116">
        <f>Decomposition!M12</f>
        <v>0</v>
      </c>
      <c r="F8" s="116">
        <f>Decomposition!N12</f>
        <v>0</v>
      </c>
      <c r="G8" s="116">
        <f>Decomposition!O12</f>
        <v>0</v>
      </c>
      <c r="H8" s="116">
        <f>Decomposition!P12</f>
        <v>0</v>
      </c>
      <c r="I8" s="116">
        <f t="shared" ref="I8:K9" si="3">H8</f>
        <v>0</v>
      </c>
      <c r="J8" s="116">
        <f t="shared" si="3"/>
        <v>0</v>
      </c>
      <c r="K8" s="117">
        <f t="shared" si="3"/>
        <v>0</v>
      </c>
      <c r="L8" s="46"/>
      <c r="M8" s="46"/>
      <c r="N8" s="46"/>
    </row>
    <row r="9" spans="1:15" x14ac:dyDescent="0.25">
      <c r="A9" s="119" t="s">
        <v>84</v>
      </c>
      <c r="B9" s="120">
        <f>Decomposition!J13</f>
        <v>0.31428571428571428</v>
      </c>
      <c r="C9" s="120">
        <f>Decomposition!K13</f>
        <v>0.26271186440677968</v>
      </c>
      <c r="D9" s="120">
        <f>Decomposition!L13</f>
        <v>0.33812949640287771</v>
      </c>
      <c r="E9" s="120">
        <f>Decomposition!M13</f>
        <v>0.40127388535031849</v>
      </c>
      <c r="F9" s="120">
        <f>Decomposition!N13</f>
        <v>0.41176470588235292</v>
      </c>
      <c r="G9" s="120">
        <f>Decomposition!O13</f>
        <v>0.42105263157894735</v>
      </c>
      <c r="H9" s="120">
        <f>Decomposition!P13</f>
        <v>0.41640866873065013</v>
      </c>
      <c r="I9" s="120">
        <f t="shared" si="3"/>
        <v>0.41640866873065013</v>
      </c>
      <c r="J9" s="120">
        <f t="shared" si="3"/>
        <v>0.41640866873065013</v>
      </c>
      <c r="K9" s="121">
        <f t="shared" si="3"/>
        <v>0.41640866873065013</v>
      </c>
      <c r="L9" s="46"/>
      <c r="M9" s="46"/>
      <c r="N9" s="46"/>
    </row>
    <row r="10" spans="1:15" x14ac:dyDescent="0.25">
      <c r="A10" s="22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5" x14ac:dyDescent="0.25">
      <c r="A11" s="122" t="s">
        <v>42</v>
      </c>
      <c r="B11" s="110"/>
      <c r="C11" s="110" t="s">
        <v>25</v>
      </c>
      <c r="D11" s="110" t="s">
        <v>33</v>
      </c>
      <c r="E11" s="110" t="s">
        <v>34</v>
      </c>
      <c r="F11" s="110" t="s">
        <v>35</v>
      </c>
      <c r="G11" s="110" t="s">
        <v>36</v>
      </c>
      <c r="H11" s="110" t="s">
        <v>37</v>
      </c>
      <c r="I11" s="110" t="s">
        <v>76</v>
      </c>
      <c r="J11" s="110" t="s">
        <v>77</v>
      </c>
      <c r="K11" s="111" t="s">
        <v>78</v>
      </c>
    </row>
    <row r="12" spans="1:15" x14ac:dyDescent="0.25">
      <c r="A12" s="115" t="s">
        <v>11</v>
      </c>
      <c r="B12" s="70"/>
      <c r="C12" s="123">
        <f>AVERAGE(C31:F31)</f>
        <v>3.3884166666666626</v>
      </c>
      <c r="D12" s="123">
        <f>AVERAGE(G31:J31)</f>
        <v>4.9609999999999976</v>
      </c>
      <c r="E12" s="123">
        <f>AVERAGE(K31:N31)</f>
        <v>3.8144166666666623</v>
      </c>
      <c r="F12" s="123">
        <f>AVERAGE(O31:R31)</f>
        <v>2.4220834166666654</v>
      </c>
      <c r="G12" s="123">
        <f>AVERAGE(S31:V31)</f>
        <v>2.2000000000000002</v>
      </c>
      <c r="H12" s="123">
        <f>AVERAGE(W31:Z31)</f>
        <v>2.5750000000000002</v>
      </c>
      <c r="I12" s="123">
        <f>AVERAGE(AA31:AD31)</f>
        <v>2.7</v>
      </c>
      <c r="J12" s="123">
        <f>AVERAGE(AE31:AH31)</f>
        <v>2.7</v>
      </c>
      <c r="K12" s="124">
        <f>AVERAGE(AI31:AL31)</f>
        <v>2.7</v>
      </c>
      <c r="L12" s="23"/>
      <c r="M12" s="23"/>
      <c r="N12" s="23"/>
      <c r="O12" s="23"/>
    </row>
    <row r="13" spans="1:15" x14ac:dyDescent="0.25">
      <c r="A13" s="115" t="s">
        <v>12</v>
      </c>
      <c r="B13" s="70"/>
      <c r="C13" s="123">
        <f>AVERAGE(C29:F29)</f>
        <v>3.0449999999999977</v>
      </c>
      <c r="D13" s="123">
        <f>AVERAGE(G29:J29)</f>
        <v>3.3324999999999978</v>
      </c>
      <c r="E13" s="123">
        <f>AVERAGE(K29:N29)</f>
        <v>3.3424999999999976</v>
      </c>
      <c r="F13" s="123">
        <f>AVERAGE(O29:R29)</f>
        <v>3.7068182499999973</v>
      </c>
      <c r="G13" s="123">
        <f>AVERAGE(S29:V29)</f>
        <v>3.8076797499999997</v>
      </c>
      <c r="H13" s="123">
        <f>AVERAGE(W29:Z29)</f>
        <v>3.7604842500000002</v>
      </c>
      <c r="I13" s="123">
        <f>AVERAGE(AA29:AD29)</f>
        <v>3.75</v>
      </c>
      <c r="J13" s="123">
        <f>AVERAGE(AE29:AH29)</f>
        <v>3.75</v>
      </c>
      <c r="K13" s="124">
        <f>AVERAGE(AI29:AL29)</f>
        <v>3.75</v>
      </c>
      <c r="L13" s="23"/>
      <c r="M13" s="23"/>
      <c r="N13" s="23"/>
      <c r="O13" s="23"/>
    </row>
    <row r="14" spans="1:15" x14ac:dyDescent="0.25">
      <c r="A14" s="126" t="s">
        <v>13</v>
      </c>
      <c r="B14" s="70"/>
      <c r="C14" s="123">
        <f>AVERAGE(C30:F30)</f>
        <v>3.0358333333333301</v>
      </c>
      <c r="D14" s="123">
        <f>AVERAGE(G30:J30)</f>
        <v>3.4458333333333302</v>
      </c>
      <c r="E14" s="123">
        <f>AVERAGE(K30:N30)</f>
        <v>3.2774999999999976</v>
      </c>
      <c r="F14" s="123">
        <f>AVERAGE(O30:R30)</f>
        <v>3.3042592499999976</v>
      </c>
      <c r="G14" s="123">
        <f>AVERAGE(S30:V30)</f>
        <v>3.4561687500000002</v>
      </c>
      <c r="H14" s="123">
        <f>AVERAGE(W30:Z30)</f>
        <v>3.4953072499999998</v>
      </c>
      <c r="I14" s="123">
        <f>AVERAGE(AA30:AD30)</f>
        <v>3.5</v>
      </c>
      <c r="J14" s="123">
        <f>AVERAGE(AE30:AH30)</f>
        <v>3.5</v>
      </c>
      <c r="K14" s="124">
        <f>AVERAGE(AI30:AL30)</f>
        <v>3.5</v>
      </c>
      <c r="L14" s="23"/>
      <c r="M14" s="23"/>
      <c r="N14" s="23"/>
      <c r="O14" s="23"/>
    </row>
    <row r="15" spans="1:15" x14ac:dyDescent="0.25">
      <c r="A15" s="115"/>
      <c r="B15" s="70"/>
      <c r="C15" s="123"/>
      <c r="D15" s="123"/>
      <c r="E15" s="123"/>
      <c r="F15" s="123"/>
      <c r="G15" s="123"/>
      <c r="H15" s="123"/>
      <c r="I15" s="123"/>
      <c r="J15" s="123"/>
      <c r="K15" s="124"/>
      <c r="L15" s="23"/>
      <c r="M15" s="23"/>
      <c r="N15" s="23"/>
      <c r="O15" s="23"/>
    </row>
    <row r="16" spans="1:15" x14ac:dyDescent="0.25">
      <c r="A16" s="126" t="s">
        <v>204</v>
      </c>
      <c r="B16" s="70"/>
      <c r="C16" s="123">
        <f>AVERAGE(C32:F32)</f>
        <v>3.1768666666666627</v>
      </c>
      <c r="D16" s="123">
        <f t="shared" ref="D16:D18" si="4">AVERAGE(G32:J32)</f>
        <v>4.0518999999999972</v>
      </c>
      <c r="E16" s="123">
        <f t="shared" ref="E16:E18" si="5">AVERAGE(K32:N32)</f>
        <v>3.4922666666666622</v>
      </c>
      <c r="F16" s="123">
        <f t="shared" ref="F16:F18" si="6">AVERAGE(O32:R32)</f>
        <v>2.9513889166666649</v>
      </c>
      <c r="G16" s="123">
        <f t="shared" ref="G16:G18" si="7">AVERAGE(S32:V32)</f>
        <v>2.4880752449431824</v>
      </c>
      <c r="H16" s="123">
        <f>AVERAGE(W32:Z32)</f>
        <v>2.7674466657475927</v>
      </c>
      <c r="I16" s="123">
        <f t="shared" ref="I16:I18" si="8">AVERAGE(AA32:AD32)</f>
        <v>2.82</v>
      </c>
      <c r="J16" s="123">
        <f t="shared" ref="J16:J18" si="9">AVERAGE(AE32:AH32)</f>
        <v>2.82</v>
      </c>
      <c r="K16" s="124">
        <f t="shared" ref="K16:K18" si="10">AVERAGE(AI32:AL32)</f>
        <v>2.82</v>
      </c>
      <c r="L16" s="23"/>
      <c r="M16" s="23"/>
      <c r="N16" s="23"/>
      <c r="O16" s="23"/>
    </row>
    <row r="17" spans="1:82" x14ac:dyDescent="0.25">
      <c r="A17" s="126" t="s">
        <v>205</v>
      </c>
      <c r="B17" s="70"/>
      <c r="C17" s="123">
        <f t="shared" ref="C17:C18" si="11">AVERAGE(C33:F33)</f>
        <v>3.1768666666666627</v>
      </c>
      <c r="D17" s="123">
        <f t="shared" si="4"/>
        <v>4.0518999999999972</v>
      </c>
      <c r="E17" s="123">
        <f t="shared" si="5"/>
        <v>3.4922666666666622</v>
      </c>
      <c r="F17" s="123">
        <f t="shared" si="6"/>
        <v>2.9513889166666649</v>
      </c>
      <c r="G17" s="123">
        <f t="shared" si="7"/>
        <v>2.5634453699431825</v>
      </c>
      <c r="H17" s="123">
        <f t="shared" ref="H17:H18" si="12">AVERAGE(W33:Z33)</f>
        <v>2.8226651007475927</v>
      </c>
      <c r="I17" s="123">
        <f t="shared" si="8"/>
        <v>2.8679999999999999</v>
      </c>
      <c r="J17" s="123">
        <f t="shared" si="9"/>
        <v>2.8679999999999999</v>
      </c>
      <c r="K17" s="124">
        <f>AVERAGE(AI33:AL33)</f>
        <v>2.8679999999999999</v>
      </c>
      <c r="L17" s="23"/>
      <c r="M17" s="23"/>
      <c r="N17" s="23"/>
      <c r="O17" s="23"/>
    </row>
    <row r="18" spans="1:82" x14ac:dyDescent="0.25">
      <c r="A18" s="126" t="s">
        <v>206</v>
      </c>
      <c r="B18" s="70"/>
      <c r="C18" s="123">
        <f t="shared" si="11"/>
        <v>3.1768666666666627</v>
      </c>
      <c r="D18" s="123">
        <f t="shared" si="4"/>
        <v>4.0518999999999972</v>
      </c>
      <c r="E18" s="123">
        <f t="shared" si="5"/>
        <v>3.4922666666666622</v>
      </c>
      <c r="F18" s="123">
        <f t="shared" si="6"/>
        <v>2.9513889166666649</v>
      </c>
      <c r="G18" s="123">
        <f t="shared" si="7"/>
        <v>2.764432369943183</v>
      </c>
      <c r="H18" s="123">
        <f t="shared" si="12"/>
        <v>2.9699142607475926</v>
      </c>
      <c r="I18" s="123">
        <f t="shared" si="8"/>
        <v>2.996</v>
      </c>
      <c r="J18" s="123">
        <f t="shared" si="9"/>
        <v>2.996</v>
      </c>
      <c r="K18" s="124">
        <f t="shared" si="10"/>
        <v>2.996</v>
      </c>
      <c r="L18" s="23"/>
      <c r="M18" s="23"/>
      <c r="N18" s="23"/>
      <c r="O18" s="23"/>
    </row>
    <row r="19" spans="1:82" x14ac:dyDescent="0.25">
      <c r="A19" s="126"/>
      <c r="B19" s="70"/>
      <c r="C19" s="123"/>
      <c r="D19" s="123"/>
      <c r="E19" s="123"/>
      <c r="F19" s="123"/>
      <c r="G19" s="123"/>
      <c r="H19" s="123"/>
      <c r="I19" s="123"/>
      <c r="J19" s="123"/>
      <c r="K19" s="124"/>
      <c r="L19" s="23"/>
      <c r="M19" s="23"/>
      <c r="N19" s="23"/>
      <c r="O19" s="23"/>
    </row>
    <row r="20" spans="1:82" x14ac:dyDescent="0.25">
      <c r="A20" s="81" t="s">
        <v>294</v>
      </c>
      <c r="B20" s="70"/>
      <c r="C20" s="123">
        <f>SUMPRODUCT(C7:C9,C16:C18)</f>
        <v>3.1768666666666627</v>
      </c>
      <c r="D20" s="123">
        <f t="shared" ref="D20:K20" si="13">SUMPRODUCT(D7:D9,D16:D18)</f>
        <v>4.0518999999999972</v>
      </c>
      <c r="E20" s="123">
        <f t="shared" si="13"/>
        <v>3.4922666666666622</v>
      </c>
      <c r="F20" s="123">
        <f t="shared" si="13"/>
        <v>2.9513889166666649</v>
      </c>
      <c r="G20" s="123">
        <f t="shared" si="13"/>
        <v>2.6044361396800246</v>
      </c>
      <c r="H20" s="123">
        <f t="shared" si="13"/>
        <v>2.8517559274426394</v>
      </c>
      <c r="I20" s="123">
        <f t="shared" si="13"/>
        <v>2.8932879256965944</v>
      </c>
      <c r="J20" s="123">
        <f t="shared" si="13"/>
        <v>2.8932879256965944</v>
      </c>
      <c r="K20" s="123">
        <f t="shared" si="13"/>
        <v>2.8932879256965944</v>
      </c>
    </row>
    <row r="21" spans="1:82" s="22" customFormat="1" x14ac:dyDescent="0.25">
      <c r="A21" s="122" t="s">
        <v>254</v>
      </c>
      <c r="B21" s="125"/>
      <c r="C21" s="127">
        <f t="shared" ref="C21:K21" si="14">C$2*C12+C$3*C13+C$4*C$7*C$16+C$4*C$8*C$17+C$4*C$9*C$18</f>
        <v>3.2565902670111941</v>
      </c>
      <c r="D21" s="127">
        <f t="shared" si="14"/>
        <v>4.4822012371133999</v>
      </c>
      <c r="E21" s="127">
        <f t="shared" si="14"/>
        <v>3.6444527841369734</v>
      </c>
      <c r="F21" s="127">
        <f t="shared" si="14"/>
        <v>2.8419065645384172</v>
      </c>
      <c r="G21" s="127">
        <f t="shared" si="14"/>
        <v>2.6580713627470329</v>
      </c>
      <c r="H21" s="127">
        <f t="shared" si="14"/>
        <v>2.8980501102243621</v>
      </c>
      <c r="I21" s="127">
        <f t="shared" si="14"/>
        <v>2.9683548806065292</v>
      </c>
      <c r="J21" s="127">
        <f t="shared" si="14"/>
        <v>2.9683548806065292</v>
      </c>
      <c r="K21" s="128">
        <f t="shared" si="14"/>
        <v>2.9683548806065292</v>
      </c>
      <c r="L21" s="47"/>
      <c r="M21" s="47"/>
      <c r="N21" s="47"/>
      <c r="O21" s="47"/>
    </row>
    <row r="22" spans="1:82" x14ac:dyDescent="0.25">
      <c r="A22" s="20"/>
    </row>
    <row r="25" spans="1:82" x14ac:dyDescent="0.25">
      <c r="A25" s="20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  <c r="BU25" s="49"/>
      <c r="BV25" s="49"/>
      <c r="BW25" s="49"/>
      <c r="BX25" s="49"/>
      <c r="BY25" s="49"/>
      <c r="BZ25" s="49"/>
      <c r="CA25" s="49"/>
      <c r="CB25" s="49"/>
      <c r="CC25" s="49"/>
      <c r="CD25" s="49"/>
    </row>
    <row r="26" spans="1:82" x14ac:dyDescent="0.25">
      <c r="A26" s="20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  <c r="BR26" s="49"/>
      <c r="BS26" s="49"/>
      <c r="BT26" s="49"/>
      <c r="BU26" s="49"/>
      <c r="BV26" s="49"/>
      <c r="BW26" s="49"/>
      <c r="BX26" s="49"/>
      <c r="BY26" s="49"/>
      <c r="BZ26" s="49"/>
      <c r="CA26" s="49"/>
      <c r="CB26" s="49"/>
      <c r="CC26" s="49"/>
      <c r="CD26" s="49"/>
    </row>
    <row r="27" spans="1:82" x14ac:dyDescent="0.25">
      <c r="A27" s="20" t="s">
        <v>14</v>
      </c>
      <c r="AR27" s="23"/>
      <c r="AS27" s="23"/>
      <c r="AT27" s="23"/>
      <c r="AU27" s="23"/>
      <c r="AV27" s="23"/>
      <c r="AW27" s="23"/>
    </row>
    <row r="28" spans="1:82" s="18" customFormat="1" x14ac:dyDescent="0.25">
      <c r="A28" s="21"/>
      <c r="B28" s="18" t="s">
        <v>10</v>
      </c>
      <c r="C28" s="18">
        <v>44652</v>
      </c>
      <c r="D28" s="18">
        <v>44743</v>
      </c>
      <c r="E28" s="18">
        <v>44835</v>
      </c>
      <c r="F28" s="18">
        <v>44927</v>
      </c>
      <c r="G28" s="18">
        <v>45017</v>
      </c>
      <c r="H28" s="18">
        <v>45108</v>
      </c>
      <c r="I28" s="18">
        <v>45200</v>
      </c>
      <c r="J28" s="18">
        <v>45292</v>
      </c>
      <c r="K28" s="18">
        <v>45383</v>
      </c>
      <c r="L28" s="18">
        <v>45474</v>
      </c>
      <c r="M28" s="18">
        <v>45566</v>
      </c>
      <c r="N28" s="18">
        <v>45658</v>
      </c>
      <c r="O28" s="18">
        <v>45748</v>
      </c>
      <c r="P28" s="18">
        <v>45839</v>
      </c>
      <c r="Q28" s="18">
        <v>45931</v>
      </c>
      <c r="R28" s="18">
        <v>46023</v>
      </c>
      <c r="S28" s="18">
        <v>46113</v>
      </c>
      <c r="T28" s="18">
        <v>46204</v>
      </c>
      <c r="U28" s="18">
        <v>46296</v>
      </c>
      <c r="V28" s="18">
        <v>46388</v>
      </c>
      <c r="W28" s="18">
        <v>46478</v>
      </c>
      <c r="X28" s="18">
        <v>46569</v>
      </c>
      <c r="Y28" s="18">
        <v>46661</v>
      </c>
      <c r="Z28" s="18">
        <v>46753</v>
      </c>
      <c r="AA28" s="18">
        <v>46844</v>
      </c>
      <c r="AB28" s="18">
        <v>46935</v>
      </c>
      <c r="AC28" s="18">
        <v>47027</v>
      </c>
      <c r="AD28" s="18">
        <v>47119</v>
      </c>
      <c r="AE28" s="18">
        <v>47209</v>
      </c>
      <c r="AF28" s="18">
        <v>47300</v>
      </c>
      <c r="AG28" s="18">
        <v>47392</v>
      </c>
      <c r="AH28" s="18">
        <v>47484</v>
      </c>
      <c r="AI28" s="18">
        <v>47574</v>
      </c>
      <c r="AJ28" s="18">
        <v>47665</v>
      </c>
      <c r="AK28" s="18">
        <v>47757</v>
      </c>
      <c r="AL28" s="18">
        <v>47849</v>
      </c>
      <c r="AR28" s="23"/>
      <c r="AS28" s="23"/>
      <c r="AT28" s="23"/>
      <c r="AU28" s="23"/>
      <c r="AV28" s="23"/>
      <c r="AW28" s="23"/>
    </row>
    <row r="29" spans="1:82" s="23" customFormat="1" x14ac:dyDescent="0.25">
      <c r="A29" s="24" t="s">
        <v>12</v>
      </c>
      <c r="B29" s="23" t="s">
        <v>15</v>
      </c>
      <c r="C29" s="23">
        <v>2.92</v>
      </c>
      <c r="D29" s="23">
        <v>2.94</v>
      </c>
      <c r="E29" s="23">
        <v>3.2366666666666601</v>
      </c>
      <c r="F29" s="23">
        <v>3.0833333333333299</v>
      </c>
      <c r="G29" s="23">
        <v>3.0733333333333301</v>
      </c>
      <c r="H29" s="23">
        <v>3.5233333333333299</v>
      </c>
      <c r="I29" s="23">
        <v>3.39333333333333</v>
      </c>
      <c r="J29" s="23">
        <v>3.34</v>
      </c>
      <c r="K29" s="23">
        <v>3.5533333333333301</v>
      </c>
      <c r="L29" s="23">
        <v>3.2</v>
      </c>
      <c r="M29" s="23">
        <v>3.3233333333333301</v>
      </c>
      <c r="N29" s="23">
        <v>3.2933333333333299</v>
      </c>
      <c r="O29" s="23">
        <v>3.53</v>
      </c>
      <c r="P29" s="23">
        <v>3.7833333333333301</v>
      </c>
      <c r="Q29" s="23">
        <v>3.6766666666666601</v>
      </c>
      <c r="R29" s="23">
        <v>3.8372730000000002</v>
      </c>
      <c r="S29" s="23">
        <v>3.8255129999999999</v>
      </c>
      <c r="T29" s="23">
        <v>3.8136239999999999</v>
      </c>
      <c r="U29" s="23">
        <v>3.8017349999999999</v>
      </c>
      <c r="V29" s="47">
        <v>3.789847</v>
      </c>
      <c r="W29" s="47">
        <v>3.7779579999999999</v>
      </c>
      <c r="X29" s="23">
        <v>3.763979</v>
      </c>
      <c r="Y29" s="23">
        <v>3.75</v>
      </c>
      <c r="Z29" s="23">
        <v>3.75</v>
      </c>
      <c r="AA29" s="23">
        <v>3.75</v>
      </c>
      <c r="AB29" s="23">
        <v>3.75</v>
      </c>
      <c r="AC29" s="23">
        <v>3.75</v>
      </c>
      <c r="AD29" s="23">
        <v>3.75</v>
      </c>
      <c r="AE29" s="23">
        <v>3.75</v>
      </c>
      <c r="AF29" s="47">
        <v>3.75</v>
      </c>
      <c r="AG29" s="23">
        <v>3.75</v>
      </c>
      <c r="AH29" s="23">
        <v>3.75</v>
      </c>
      <c r="AI29" s="23">
        <v>3.75</v>
      </c>
      <c r="AJ29" s="23">
        <v>3.75</v>
      </c>
      <c r="AK29" s="23">
        <v>3.75</v>
      </c>
      <c r="AL29" s="23">
        <v>3.75</v>
      </c>
      <c r="AP29"/>
      <c r="AQ29"/>
    </row>
    <row r="30" spans="1:82" s="23" customFormat="1" x14ac:dyDescent="0.25">
      <c r="A30" s="24" t="s">
        <v>13</v>
      </c>
      <c r="B30" s="23" t="s">
        <v>16</v>
      </c>
      <c r="C30" s="23">
        <v>2.95</v>
      </c>
      <c r="D30" s="23">
        <v>2.9866666666666601</v>
      </c>
      <c r="E30" s="23">
        <v>3.1766666666666601</v>
      </c>
      <c r="F30" s="23">
        <v>3.03</v>
      </c>
      <c r="G30" s="23">
        <v>3.0833333333333299</v>
      </c>
      <c r="H30" s="23">
        <v>3.70333333333333</v>
      </c>
      <c r="I30" s="23">
        <v>3.56</v>
      </c>
      <c r="J30" s="23">
        <v>3.4366666666666599</v>
      </c>
      <c r="K30" s="23">
        <v>3.67</v>
      </c>
      <c r="L30" s="23">
        <v>3.09</v>
      </c>
      <c r="M30" s="23">
        <v>3.2566666666666602</v>
      </c>
      <c r="N30" s="23">
        <v>3.0933333333333302</v>
      </c>
      <c r="O30" s="23">
        <v>3.21</v>
      </c>
      <c r="P30" s="23">
        <v>3.3766666666666598</v>
      </c>
      <c r="Q30" s="23">
        <v>3.2333333333333298</v>
      </c>
      <c r="R30" s="23">
        <v>3.3970370000000001</v>
      </c>
      <c r="S30" s="23">
        <v>3.4373819999999999</v>
      </c>
      <c r="T30" s="23">
        <v>3.4499050000000002</v>
      </c>
      <c r="U30" s="23">
        <v>3.462431</v>
      </c>
      <c r="V30" s="47">
        <v>3.4749569999999999</v>
      </c>
      <c r="W30" s="47">
        <v>3.4874860000000001</v>
      </c>
      <c r="X30" s="23">
        <v>3.4937429999999998</v>
      </c>
      <c r="Y30" s="23">
        <v>3.5</v>
      </c>
      <c r="Z30" s="23">
        <v>3.5</v>
      </c>
      <c r="AA30" s="23">
        <v>3.5</v>
      </c>
      <c r="AB30" s="23">
        <v>3.5</v>
      </c>
      <c r="AC30" s="23">
        <v>3.5</v>
      </c>
      <c r="AD30" s="23">
        <v>3.5</v>
      </c>
      <c r="AE30" s="23">
        <v>3.5</v>
      </c>
      <c r="AF30" s="47">
        <v>3.5</v>
      </c>
      <c r="AG30" s="23">
        <v>3.5</v>
      </c>
      <c r="AH30" s="23">
        <v>3.5</v>
      </c>
      <c r="AI30" s="23">
        <v>3.5</v>
      </c>
      <c r="AJ30" s="23">
        <v>3.5</v>
      </c>
      <c r="AK30" s="23">
        <v>3.5</v>
      </c>
      <c r="AL30" s="23">
        <v>3.5</v>
      </c>
      <c r="AP30"/>
      <c r="AQ30"/>
    </row>
    <row r="31" spans="1:82" s="23" customFormat="1" x14ac:dyDescent="0.25">
      <c r="A31" s="24" t="s">
        <v>11</v>
      </c>
      <c r="B31" s="23" t="s">
        <v>17</v>
      </c>
      <c r="C31" s="23">
        <v>1.6526666666666601</v>
      </c>
      <c r="D31" s="23">
        <v>3.222</v>
      </c>
      <c r="E31" s="23">
        <v>4.2026666666666603</v>
      </c>
      <c r="F31" s="23">
        <v>4.4763333333333302</v>
      </c>
      <c r="G31" s="23">
        <v>4.6483333333333299</v>
      </c>
      <c r="H31" s="23">
        <v>5.1120000000000001</v>
      </c>
      <c r="I31" s="23">
        <v>5.08</v>
      </c>
      <c r="J31" s="23">
        <v>5.0036666666666596</v>
      </c>
      <c r="K31" s="23">
        <v>4.8236666666666599</v>
      </c>
      <c r="L31" s="23">
        <v>4.1976666666666604</v>
      </c>
      <c r="M31" s="23">
        <v>3.42133333333333</v>
      </c>
      <c r="N31" s="23">
        <v>2.8149999999999999</v>
      </c>
      <c r="O31" s="23">
        <v>2.66166666666666</v>
      </c>
      <c r="P31" s="23">
        <v>2.5960000000000001</v>
      </c>
      <c r="Q31" s="23">
        <v>2.246</v>
      </c>
      <c r="R31" s="23">
        <v>2.1846670000000001</v>
      </c>
      <c r="S31" s="23">
        <v>2.2000000000000002</v>
      </c>
      <c r="T31" s="23">
        <v>2.2000000000000002</v>
      </c>
      <c r="U31" s="23">
        <v>2.2000000000000002</v>
      </c>
      <c r="V31" s="47">
        <v>2.2000000000000002</v>
      </c>
      <c r="W31" s="47">
        <v>2.4500000000000002</v>
      </c>
      <c r="X31" s="23">
        <v>2.4500000000000002</v>
      </c>
      <c r="Y31" s="23">
        <v>2.7</v>
      </c>
      <c r="Z31" s="23">
        <v>2.7</v>
      </c>
      <c r="AA31" s="23">
        <v>2.7</v>
      </c>
      <c r="AB31" s="23">
        <v>2.7</v>
      </c>
      <c r="AC31" s="23">
        <v>2.7</v>
      </c>
      <c r="AD31" s="23">
        <v>2.7</v>
      </c>
      <c r="AE31" s="23">
        <v>2.7</v>
      </c>
      <c r="AF31" s="47">
        <v>2.7</v>
      </c>
      <c r="AG31" s="23">
        <v>2.7</v>
      </c>
      <c r="AH31" s="23">
        <v>2.7</v>
      </c>
      <c r="AI31" s="23">
        <v>2.7</v>
      </c>
      <c r="AJ31" s="23">
        <v>2.7</v>
      </c>
      <c r="AK31" s="23">
        <v>2.7</v>
      </c>
      <c r="AL31" s="23">
        <v>2.7</v>
      </c>
      <c r="AP31"/>
      <c r="AQ31"/>
    </row>
    <row r="32" spans="1:82" x14ac:dyDescent="0.25">
      <c r="A32" s="24" t="s">
        <v>204</v>
      </c>
      <c r="B32" s="23" t="s">
        <v>229</v>
      </c>
      <c r="C32" s="23">
        <v>2.43106666666666</v>
      </c>
      <c r="D32" s="23">
        <v>3.0808</v>
      </c>
      <c r="E32" s="23">
        <v>3.5870666666666602</v>
      </c>
      <c r="F32" s="23">
        <v>3.6085333333333298</v>
      </c>
      <c r="G32" s="23">
        <v>3.7093333333333298</v>
      </c>
      <c r="H32" s="23">
        <v>4.2667999999999999</v>
      </c>
      <c r="I32" s="23">
        <v>4.1680000000000001</v>
      </c>
      <c r="J32" s="23">
        <v>4.0634666666666597</v>
      </c>
      <c r="K32" s="23">
        <v>4.1314666666666602</v>
      </c>
      <c r="L32" s="23">
        <v>3.5330666666666599</v>
      </c>
      <c r="M32" s="23">
        <v>3.3225333333333298</v>
      </c>
      <c r="N32" s="23">
        <v>2.9820000000000002</v>
      </c>
      <c r="O32" s="23">
        <v>2.9906666666666601</v>
      </c>
      <c r="P32" s="23">
        <v>3.0644</v>
      </c>
      <c r="Q32" s="23">
        <v>2.8384</v>
      </c>
      <c r="R32" s="23">
        <v>2.9120889999999999</v>
      </c>
      <c r="S32" s="23">
        <v>2.4156075408348499</v>
      </c>
      <c r="T32" s="23">
        <v>2.4483044266243899</v>
      </c>
      <c r="U32" s="23">
        <v>2.5111633473523298</v>
      </c>
      <c r="V32" s="47">
        <v>2.5772256649611598</v>
      </c>
      <c r="W32" s="47">
        <v>2.6982252129903701</v>
      </c>
      <c r="X32" s="23">
        <v>2.7315614500000001</v>
      </c>
      <c r="Y32" s="23">
        <v>2.82</v>
      </c>
      <c r="Z32" s="23">
        <v>2.82</v>
      </c>
      <c r="AA32" s="23">
        <v>2.82</v>
      </c>
      <c r="AB32" s="23">
        <v>2.82</v>
      </c>
      <c r="AC32" s="23">
        <v>2.82</v>
      </c>
      <c r="AD32" s="23">
        <v>2.82</v>
      </c>
      <c r="AE32" s="23">
        <v>2.82</v>
      </c>
      <c r="AF32" s="47">
        <v>2.82</v>
      </c>
      <c r="AG32" s="23">
        <v>2.82</v>
      </c>
      <c r="AH32" s="23">
        <v>2.82</v>
      </c>
      <c r="AI32" s="23">
        <v>2.82</v>
      </c>
      <c r="AJ32" s="23">
        <v>2.82</v>
      </c>
      <c r="AK32" s="23">
        <v>2.82</v>
      </c>
      <c r="AL32" s="23">
        <v>2.82</v>
      </c>
      <c r="AM32" s="23"/>
      <c r="AN32" s="23"/>
      <c r="AO32" s="23"/>
      <c r="AR32" s="23"/>
      <c r="AS32" s="23"/>
      <c r="AT32" s="23"/>
      <c r="AU32" s="23"/>
      <c r="AV32" s="23"/>
      <c r="AW32" s="23"/>
    </row>
    <row r="33" spans="1:49" x14ac:dyDescent="0.25">
      <c r="A33" s="24" t="s">
        <v>205</v>
      </c>
      <c r="B33" s="23" t="s">
        <v>230</v>
      </c>
      <c r="C33" s="23">
        <v>2.43106666666666</v>
      </c>
      <c r="D33" s="23">
        <v>3.0808</v>
      </c>
      <c r="E33" s="23">
        <v>3.5870666666666602</v>
      </c>
      <c r="F33" s="23">
        <v>3.6085333333333298</v>
      </c>
      <c r="G33" s="23">
        <v>3.7093333333333298</v>
      </c>
      <c r="H33" s="23">
        <v>4.2667999999999999</v>
      </c>
      <c r="I33" s="23">
        <v>4.1680000000000001</v>
      </c>
      <c r="J33" s="23">
        <v>4.0634666666666597</v>
      </c>
      <c r="K33" s="23">
        <v>4.1314666666666602</v>
      </c>
      <c r="L33" s="23">
        <v>3.5330666666666599</v>
      </c>
      <c r="M33" s="23">
        <v>3.3225333333333298</v>
      </c>
      <c r="N33" s="23">
        <v>2.9820000000000002</v>
      </c>
      <c r="O33" s="23">
        <v>2.9906666666666601</v>
      </c>
      <c r="P33" s="23">
        <v>3.0644</v>
      </c>
      <c r="Q33" s="23">
        <v>2.8384</v>
      </c>
      <c r="R33" s="23">
        <v>2.9120889999999999</v>
      </c>
      <c r="S33" s="23">
        <v>2.48985046083485</v>
      </c>
      <c r="T33" s="23">
        <v>2.52329872662439</v>
      </c>
      <c r="U33" s="23">
        <v>2.5869092073523299</v>
      </c>
      <c r="V33" s="47">
        <v>2.6537230849611602</v>
      </c>
      <c r="W33" s="47">
        <v>2.76047437299037</v>
      </c>
      <c r="X33" s="23">
        <v>2.7941860300000001</v>
      </c>
      <c r="Y33" s="23">
        <v>2.8679999999999999</v>
      </c>
      <c r="Z33" s="23">
        <v>2.8679999999999999</v>
      </c>
      <c r="AA33" s="23">
        <v>2.8679999999999999</v>
      </c>
      <c r="AB33" s="23">
        <v>2.8679999999999999</v>
      </c>
      <c r="AC33" s="23">
        <v>2.8679999999999999</v>
      </c>
      <c r="AD33" s="23">
        <v>2.8679999999999999</v>
      </c>
      <c r="AE33" s="23">
        <v>2.8679999999999999</v>
      </c>
      <c r="AF33" s="47">
        <v>2.8679999999999999</v>
      </c>
      <c r="AG33" s="23">
        <v>2.8679999999999999</v>
      </c>
      <c r="AH33" s="23">
        <v>2.8679999999999999</v>
      </c>
      <c r="AI33" s="23">
        <v>2.8679999999999999</v>
      </c>
      <c r="AJ33" s="23">
        <v>2.8679999999999999</v>
      </c>
      <c r="AK33" s="23">
        <v>2.8679999999999999</v>
      </c>
      <c r="AL33" s="23">
        <v>2.8679999999999999</v>
      </c>
      <c r="AM33" s="23"/>
      <c r="AN33" s="23"/>
      <c r="AO33" s="23"/>
      <c r="AR33" s="23"/>
      <c r="AS33" s="23"/>
      <c r="AT33" s="23"/>
      <c r="AU33" s="23"/>
      <c r="AV33" s="23"/>
      <c r="AW33" s="23"/>
    </row>
    <row r="34" spans="1:49" x14ac:dyDescent="0.25">
      <c r="A34" s="24" t="s">
        <v>206</v>
      </c>
      <c r="B34" s="23" t="s">
        <v>231</v>
      </c>
      <c r="C34" s="23">
        <v>2.43106666666666</v>
      </c>
      <c r="D34" s="23">
        <v>3.0808</v>
      </c>
      <c r="E34" s="23">
        <v>3.5870666666666602</v>
      </c>
      <c r="F34" s="23">
        <v>3.6085333333333298</v>
      </c>
      <c r="G34" s="23">
        <v>3.7093333333333298</v>
      </c>
      <c r="H34" s="23">
        <v>4.2667999999999999</v>
      </c>
      <c r="I34" s="23">
        <v>4.1680000000000001</v>
      </c>
      <c r="J34" s="23">
        <v>4.0634666666666597</v>
      </c>
      <c r="K34" s="23">
        <v>4.1314666666666602</v>
      </c>
      <c r="L34" s="23">
        <v>3.5330666666666599</v>
      </c>
      <c r="M34" s="23">
        <v>3.3225333333333298</v>
      </c>
      <c r="N34" s="23">
        <v>2.9820000000000002</v>
      </c>
      <c r="O34" s="23">
        <v>2.9906666666666601</v>
      </c>
      <c r="P34" s="23">
        <v>3.0644</v>
      </c>
      <c r="Q34" s="23">
        <v>2.8384</v>
      </c>
      <c r="R34" s="23">
        <v>2.9120889999999999</v>
      </c>
      <c r="S34" s="23">
        <v>2.6878315808348501</v>
      </c>
      <c r="T34" s="23">
        <v>2.7232835266243902</v>
      </c>
      <c r="U34" s="23">
        <v>2.7888981673523299</v>
      </c>
      <c r="V34" s="47">
        <v>2.85771620496116</v>
      </c>
      <c r="W34" s="47">
        <v>2.9264721329903698</v>
      </c>
      <c r="X34" s="23">
        <v>2.9611849100000001</v>
      </c>
      <c r="Y34" s="23">
        <v>2.996</v>
      </c>
      <c r="Z34" s="23">
        <v>2.996</v>
      </c>
      <c r="AA34" s="23">
        <v>2.996</v>
      </c>
      <c r="AB34" s="23">
        <v>2.996</v>
      </c>
      <c r="AC34" s="23">
        <v>2.996</v>
      </c>
      <c r="AD34" s="23">
        <v>2.996</v>
      </c>
      <c r="AE34" s="23">
        <v>2.996</v>
      </c>
      <c r="AF34" s="47">
        <v>2.996</v>
      </c>
      <c r="AG34" s="23">
        <v>2.996</v>
      </c>
      <c r="AH34" s="23">
        <v>2.996</v>
      </c>
      <c r="AI34" s="23">
        <v>2.996</v>
      </c>
      <c r="AJ34" s="23">
        <v>2.996</v>
      </c>
      <c r="AK34" s="23">
        <v>2.996</v>
      </c>
      <c r="AL34" s="23">
        <v>2.996</v>
      </c>
      <c r="AM34" s="23"/>
      <c r="AN34" s="23"/>
      <c r="AO34" s="23"/>
      <c r="AR34" s="23"/>
      <c r="AS34" s="23"/>
      <c r="AT34" s="23"/>
      <c r="AU34" s="23"/>
      <c r="AV34" s="23"/>
      <c r="AW34" s="23"/>
    </row>
    <row r="35" spans="1:49" x14ac:dyDescent="0.25">
      <c r="AR35" s="23"/>
      <c r="AS35" s="23"/>
      <c r="AT35" s="23"/>
      <c r="AU35" s="23"/>
      <c r="AV35" s="23"/>
      <c r="AW35" s="23"/>
    </row>
    <row r="36" spans="1:49" x14ac:dyDescent="0.25">
      <c r="A36" s="24" t="s">
        <v>248</v>
      </c>
      <c r="O36" s="19">
        <f>F3</f>
        <v>0.18739635157545603</v>
      </c>
      <c r="P36" s="19">
        <f>O36</f>
        <v>0.18739635157545603</v>
      </c>
      <c r="Q36" s="19">
        <f t="shared" ref="Q36:AL40" si="15">P36</f>
        <v>0.18739635157545603</v>
      </c>
      <c r="R36" s="19">
        <f t="shared" si="15"/>
        <v>0.18739635157545603</v>
      </c>
      <c r="S36" s="19">
        <f t="shared" si="15"/>
        <v>0.18739635157545603</v>
      </c>
      <c r="T36" s="19">
        <f t="shared" si="15"/>
        <v>0.18739635157545603</v>
      </c>
      <c r="U36" s="19">
        <f t="shared" si="15"/>
        <v>0.18739635157545603</v>
      </c>
      <c r="V36" s="19">
        <f t="shared" si="15"/>
        <v>0.18739635157545603</v>
      </c>
      <c r="W36" s="19">
        <f t="shared" si="15"/>
        <v>0.18739635157545603</v>
      </c>
      <c r="X36" s="19">
        <f t="shared" si="15"/>
        <v>0.18739635157545603</v>
      </c>
      <c r="Y36" s="19">
        <f t="shared" si="15"/>
        <v>0.18739635157545603</v>
      </c>
      <c r="Z36" s="19">
        <f t="shared" si="15"/>
        <v>0.18739635157545603</v>
      </c>
      <c r="AA36" s="19">
        <f t="shared" si="15"/>
        <v>0.18739635157545603</v>
      </c>
      <c r="AB36" s="19">
        <f t="shared" si="15"/>
        <v>0.18739635157545603</v>
      </c>
      <c r="AC36" s="19">
        <f t="shared" si="15"/>
        <v>0.18739635157545603</v>
      </c>
      <c r="AD36" s="19">
        <f t="shared" si="15"/>
        <v>0.18739635157545603</v>
      </c>
      <c r="AE36" s="19">
        <f t="shared" si="15"/>
        <v>0.18739635157545603</v>
      </c>
      <c r="AF36" s="19">
        <f t="shared" si="15"/>
        <v>0.18739635157545603</v>
      </c>
      <c r="AG36" s="19">
        <f t="shared" si="15"/>
        <v>0.18739635157545603</v>
      </c>
      <c r="AH36" s="19">
        <f t="shared" si="15"/>
        <v>0.18739635157545603</v>
      </c>
      <c r="AI36" s="19">
        <f t="shared" si="15"/>
        <v>0.18739635157545603</v>
      </c>
      <c r="AJ36" s="19">
        <f t="shared" si="15"/>
        <v>0.18739635157545603</v>
      </c>
      <c r="AK36" s="19">
        <f t="shared" si="15"/>
        <v>0.18739635157545603</v>
      </c>
      <c r="AL36" s="19">
        <f t="shared" si="15"/>
        <v>0.18739635157545603</v>
      </c>
      <c r="AM36" s="19"/>
      <c r="AN36" s="19"/>
      <c r="AO36" s="19"/>
      <c r="AP36" s="19"/>
      <c r="AQ36" s="19"/>
      <c r="AR36" s="23"/>
      <c r="AS36" s="23"/>
      <c r="AT36" s="23"/>
      <c r="AU36" s="23"/>
      <c r="AV36" s="23"/>
      <c r="AW36" s="23"/>
    </row>
    <row r="37" spans="1:49" x14ac:dyDescent="0.25">
      <c r="A37" s="24" t="s">
        <v>249</v>
      </c>
      <c r="O37" s="19">
        <f>F2</f>
        <v>0.47429519071310117</v>
      </c>
      <c r="P37" s="19">
        <f t="shared" ref="P37:AE40" si="16">O37</f>
        <v>0.47429519071310117</v>
      </c>
      <c r="Q37" s="19">
        <f t="shared" si="16"/>
        <v>0.47429519071310117</v>
      </c>
      <c r="R37" s="19">
        <f t="shared" si="16"/>
        <v>0.47429519071310117</v>
      </c>
      <c r="S37" s="19">
        <f t="shared" si="16"/>
        <v>0.47429519071310117</v>
      </c>
      <c r="T37" s="19">
        <f t="shared" si="16"/>
        <v>0.47429519071310117</v>
      </c>
      <c r="U37" s="19">
        <f t="shared" si="16"/>
        <v>0.47429519071310117</v>
      </c>
      <c r="V37" s="19">
        <f t="shared" si="16"/>
        <v>0.47429519071310117</v>
      </c>
      <c r="W37" s="19">
        <f t="shared" si="16"/>
        <v>0.47429519071310117</v>
      </c>
      <c r="X37" s="19">
        <f t="shared" si="16"/>
        <v>0.47429519071310117</v>
      </c>
      <c r="Y37" s="19">
        <f t="shared" si="16"/>
        <v>0.47429519071310117</v>
      </c>
      <c r="Z37" s="19">
        <f t="shared" si="16"/>
        <v>0.47429519071310117</v>
      </c>
      <c r="AA37" s="19">
        <f t="shared" si="16"/>
        <v>0.47429519071310117</v>
      </c>
      <c r="AB37" s="19">
        <f t="shared" si="16"/>
        <v>0.47429519071310117</v>
      </c>
      <c r="AC37" s="19">
        <f t="shared" si="16"/>
        <v>0.47429519071310117</v>
      </c>
      <c r="AD37" s="19">
        <f t="shared" si="16"/>
        <v>0.47429519071310117</v>
      </c>
      <c r="AE37" s="19">
        <f t="shared" si="16"/>
        <v>0.47429519071310117</v>
      </c>
      <c r="AF37" s="19">
        <f t="shared" si="15"/>
        <v>0.47429519071310117</v>
      </c>
      <c r="AG37" s="19">
        <f t="shared" si="15"/>
        <v>0.47429519071310117</v>
      </c>
      <c r="AH37" s="19">
        <f t="shared" si="15"/>
        <v>0.47429519071310117</v>
      </c>
      <c r="AI37" s="19">
        <f t="shared" si="15"/>
        <v>0.47429519071310117</v>
      </c>
      <c r="AJ37" s="19">
        <f t="shared" si="15"/>
        <v>0.47429519071310117</v>
      </c>
      <c r="AK37" s="19">
        <f t="shared" si="15"/>
        <v>0.47429519071310117</v>
      </c>
      <c r="AL37" s="19">
        <f t="shared" si="15"/>
        <v>0.47429519071310117</v>
      </c>
      <c r="AM37" s="19"/>
      <c r="AN37" s="19"/>
      <c r="AO37" s="19"/>
      <c r="AP37" s="19"/>
      <c r="AQ37" s="19"/>
      <c r="AR37" s="23"/>
      <c r="AS37" s="23"/>
      <c r="AT37" s="23"/>
      <c r="AU37" s="23"/>
      <c r="AV37" s="23"/>
      <c r="AW37" s="23"/>
    </row>
    <row r="38" spans="1:49" x14ac:dyDescent="0.25">
      <c r="A38" s="24" t="s">
        <v>250</v>
      </c>
      <c r="O38" s="19">
        <f>F4*F7</f>
        <v>0.19900497512437809</v>
      </c>
      <c r="P38" s="19">
        <f t="shared" si="16"/>
        <v>0.19900497512437809</v>
      </c>
      <c r="Q38" s="19">
        <f t="shared" si="15"/>
        <v>0.19900497512437809</v>
      </c>
      <c r="R38" s="19">
        <f t="shared" si="15"/>
        <v>0.19900497512437809</v>
      </c>
      <c r="S38" s="19">
        <f t="shared" si="15"/>
        <v>0.19900497512437809</v>
      </c>
      <c r="T38" s="19">
        <f t="shared" si="15"/>
        <v>0.19900497512437809</v>
      </c>
      <c r="U38" s="19">
        <f t="shared" si="15"/>
        <v>0.19900497512437809</v>
      </c>
      <c r="V38" s="19">
        <f t="shared" si="15"/>
        <v>0.19900497512437809</v>
      </c>
      <c r="W38" s="19">
        <f t="shared" si="15"/>
        <v>0.19900497512437809</v>
      </c>
      <c r="X38" s="19">
        <f t="shared" si="15"/>
        <v>0.19900497512437809</v>
      </c>
      <c r="Y38" s="19">
        <f t="shared" si="15"/>
        <v>0.19900497512437809</v>
      </c>
      <c r="Z38" s="19">
        <f t="shared" si="15"/>
        <v>0.19900497512437809</v>
      </c>
      <c r="AA38" s="19">
        <f t="shared" si="15"/>
        <v>0.19900497512437809</v>
      </c>
      <c r="AB38" s="19">
        <f t="shared" si="15"/>
        <v>0.19900497512437809</v>
      </c>
      <c r="AC38" s="19">
        <f t="shared" si="15"/>
        <v>0.19900497512437809</v>
      </c>
      <c r="AD38" s="19">
        <f t="shared" si="15"/>
        <v>0.19900497512437809</v>
      </c>
      <c r="AE38" s="19">
        <f t="shared" si="15"/>
        <v>0.19900497512437809</v>
      </c>
      <c r="AF38" s="19">
        <f t="shared" si="15"/>
        <v>0.19900497512437809</v>
      </c>
      <c r="AG38" s="19">
        <f t="shared" si="15"/>
        <v>0.19900497512437809</v>
      </c>
      <c r="AH38" s="19">
        <f t="shared" si="15"/>
        <v>0.19900497512437809</v>
      </c>
      <c r="AI38" s="19">
        <f t="shared" si="15"/>
        <v>0.19900497512437809</v>
      </c>
      <c r="AJ38" s="19">
        <f t="shared" si="15"/>
        <v>0.19900497512437809</v>
      </c>
      <c r="AK38" s="19">
        <f t="shared" si="15"/>
        <v>0.19900497512437809</v>
      </c>
      <c r="AL38" s="19">
        <f t="shared" si="15"/>
        <v>0.19900497512437809</v>
      </c>
      <c r="AM38" s="19"/>
      <c r="AN38" s="19"/>
      <c r="AO38" s="19"/>
      <c r="AP38" s="19"/>
      <c r="AQ38" s="19"/>
      <c r="AR38" s="23"/>
      <c r="AS38" s="23"/>
      <c r="AT38" s="23"/>
      <c r="AU38" s="23"/>
      <c r="AV38" s="23"/>
      <c r="AW38" s="23"/>
    </row>
    <row r="39" spans="1:49" x14ac:dyDescent="0.25">
      <c r="A39" s="24" t="s">
        <v>251</v>
      </c>
      <c r="O39" s="19">
        <f>F4*F8</f>
        <v>0</v>
      </c>
      <c r="P39" s="19">
        <f t="shared" si="16"/>
        <v>0</v>
      </c>
      <c r="Q39" s="19">
        <f t="shared" si="15"/>
        <v>0</v>
      </c>
      <c r="R39" s="19">
        <f t="shared" si="15"/>
        <v>0</v>
      </c>
      <c r="S39" s="19">
        <f t="shared" si="15"/>
        <v>0</v>
      </c>
      <c r="T39" s="19">
        <f t="shared" si="15"/>
        <v>0</v>
      </c>
      <c r="U39" s="19">
        <f t="shared" si="15"/>
        <v>0</v>
      </c>
      <c r="V39" s="19">
        <f t="shared" si="15"/>
        <v>0</v>
      </c>
      <c r="W39" s="19">
        <f t="shared" si="15"/>
        <v>0</v>
      </c>
      <c r="X39" s="19">
        <f t="shared" si="15"/>
        <v>0</v>
      </c>
      <c r="Y39" s="19">
        <f t="shared" si="15"/>
        <v>0</v>
      </c>
      <c r="Z39" s="19">
        <f t="shared" si="15"/>
        <v>0</v>
      </c>
      <c r="AA39" s="19">
        <f t="shared" si="15"/>
        <v>0</v>
      </c>
      <c r="AB39" s="19">
        <f t="shared" si="15"/>
        <v>0</v>
      </c>
      <c r="AC39" s="19">
        <f t="shared" si="15"/>
        <v>0</v>
      </c>
      <c r="AD39" s="19">
        <f t="shared" si="15"/>
        <v>0</v>
      </c>
      <c r="AE39" s="19">
        <f t="shared" si="15"/>
        <v>0</v>
      </c>
      <c r="AF39" s="19">
        <f t="shared" si="15"/>
        <v>0</v>
      </c>
      <c r="AG39" s="19">
        <f t="shared" si="15"/>
        <v>0</v>
      </c>
      <c r="AH39" s="19">
        <f t="shared" si="15"/>
        <v>0</v>
      </c>
      <c r="AI39" s="19">
        <f t="shared" si="15"/>
        <v>0</v>
      </c>
      <c r="AJ39" s="19">
        <f t="shared" si="15"/>
        <v>0</v>
      </c>
      <c r="AK39" s="19">
        <f t="shared" si="15"/>
        <v>0</v>
      </c>
      <c r="AL39" s="19">
        <f t="shared" si="15"/>
        <v>0</v>
      </c>
      <c r="AM39" s="19"/>
      <c r="AN39" s="19"/>
      <c r="AO39" s="19"/>
      <c r="AP39" s="19"/>
      <c r="AQ39" s="19"/>
      <c r="AR39" s="23"/>
      <c r="AS39" s="23"/>
      <c r="AT39" s="23"/>
      <c r="AU39" s="23"/>
      <c r="AV39" s="23"/>
      <c r="AW39" s="23"/>
    </row>
    <row r="40" spans="1:49" x14ac:dyDescent="0.25">
      <c r="A40" s="24" t="s">
        <v>252</v>
      </c>
      <c r="O40" s="19">
        <f>F4*F9</f>
        <v>0.13930348258706465</v>
      </c>
      <c r="P40" s="19">
        <f t="shared" si="16"/>
        <v>0.13930348258706465</v>
      </c>
      <c r="Q40" s="19">
        <f t="shared" si="15"/>
        <v>0.13930348258706465</v>
      </c>
      <c r="R40" s="19">
        <f t="shared" si="15"/>
        <v>0.13930348258706465</v>
      </c>
      <c r="S40" s="19">
        <f t="shared" si="15"/>
        <v>0.13930348258706465</v>
      </c>
      <c r="T40" s="19">
        <f t="shared" si="15"/>
        <v>0.13930348258706465</v>
      </c>
      <c r="U40" s="19">
        <f t="shared" si="15"/>
        <v>0.13930348258706465</v>
      </c>
      <c r="V40" s="19">
        <f t="shared" si="15"/>
        <v>0.13930348258706465</v>
      </c>
      <c r="W40" s="19">
        <f t="shared" si="15"/>
        <v>0.13930348258706465</v>
      </c>
      <c r="X40" s="19">
        <f t="shared" si="15"/>
        <v>0.13930348258706465</v>
      </c>
      <c r="Y40" s="19">
        <f t="shared" si="15"/>
        <v>0.13930348258706465</v>
      </c>
      <c r="Z40" s="19">
        <f t="shared" si="15"/>
        <v>0.13930348258706465</v>
      </c>
      <c r="AA40" s="19">
        <f t="shared" si="15"/>
        <v>0.13930348258706465</v>
      </c>
      <c r="AB40" s="19">
        <f t="shared" si="15"/>
        <v>0.13930348258706465</v>
      </c>
      <c r="AC40" s="19">
        <f t="shared" si="15"/>
        <v>0.13930348258706465</v>
      </c>
      <c r="AD40" s="19">
        <f t="shared" si="15"/>
        <v>0.13930348258706465</v>
      </c>
      <c r="AE40" s="19">
        <f t="shared" si="15"/>
        <v>0.13930348258706465</v>
      </c>
      <c r="AF40" s="19">
        <f t="shared" si="15"/>
        <v>0.13930348258706465</v>
      </c>
      <c r="AG40" s="19">
        <f t="shared" si="15"/>
        <v>0.13930348258706465</v>
      </c>
      <c r="AH40" s="19">
        <f t="shared" si="15"/>
        <v>0.13930348258706465</v>
      </c>
      <c r="AI40" s="19">
        <f t="shared" si="15"/>
        <v>0.13930348258706465</v>
      </c>
      <c r="AJ40" s="19">
        <f t="shared" si="15"/>
        <v>0.13930348258706465</v>
      </c>
      <c r="AK40" s="19">
        <f t="shared" si="15"/>
        <v>0.13930348258706465</v>
      </c>
      <c r="AL40" s="19">
        <f t="shared" si="15"/>
        <v>0.13930348258706465</v>
      </c>
      <c r="AM40" s="19"/>
      <c r="AN40" s="19"/>
      <c r="AO40" s="19"/>
      <c r="AP40" s="19"/>
      <c r="AQ40" s="19"/>
      <c r="AR40" s="23"/>
      <c r="AS40" s="23"/>
      <c r="AT40" s="23"/>
      <c r="AU40" s="23"/>
      <c r="AV40" s="23"/>
      <c r="AW40" s="23"/>
    </row>
    <row r="41" spans="1:49" x14ac:dyDescent="0.25">
      <c r="A41" s="24"/>
      <c r="AR41" s="23"/>
      <c r="AS41" s="23"/>
      <c r="AT41" s="23"/>
      <c r="AU41" s="23"/>
      <c r="AV41" s="23"/>
      <c r="AW41" s="23"/>
    </row>
    <row r="42" spans="1:49" x14ac:dyDescent="0.25">
      <c r="A42" s="24" t="s">
        <v>253</v>
      </c>
      <c r="O42" s="23">
        <f>O29*O36+SUMPRODUCT(O31:O34,O37:O40)</f>
        <v>2.9356926478717464</v>
      </c>
      <c r="P42" s="23">
        <f t="shared" ref="P42:AK42" si="17">P29*P36+SUMPRODUCT(P31:P34,P37:P40)</f>
        <v>2.976965616362631</v>
      </c>
      <c r="Q42" s="23">
        <f t="shared" si="17"/>
        <v>2.7145156440022093</v>
      </c>
      <c r="R42" s="23">
        <f t="shared" si="17"/>
        <v>2.7404523499170814</v>
      </c>
      <c r="S42" s="23">
        <f t="shared" si="17"/>
        <v>2.6154788170651897</v>
      </c>
      <c r="T42" s="23">
        <f t="shared" si="17"/>
        <v>2.6246962842974719</v>
      </c>
      <c r="U42" s="23">
        <f t="shared" si="17"/>
        <v>2.6441179149915013</v>
      </c>
      <c r="V42" s="23">
        <f t="shared" si="17"/>
        <v>2.6646234693400936</v>
      </c>
      <c r="W42" s="23">
        <f t="shared" si="17"/>
        <v>2.8146267640630773</v>
      </c>
      <c r="X42" s="23">
        <f t="shared" si="17"/>
        <v>2.823476838208955</v>
      </c>
      <c r="Y42" s="23">
        <f t="shared" si="17"/>
        <v>2.9618805970149253</v>
      </c>
      <c r="Z42" s="23">
        <f t="shared" si="17"/>
        <v>2.9618805970149253</v>
      </c>
      <c r="AA42" s="23">
        <f t="shared" si="17"/>
        <v>2.9618805970149253</v>
      </c>
      <c r="AB42" s="23">
        <f t="shared" si="17"/>
        <v>2.9618805970149253</v>
      </c>
      <c r="AC42" s="23">
        <f t="shared" si="17"/>
        <v>2.9618805970149253</v>
      </c>
      <c r="AD42" s="23">
        <f t="shared" si="17"/>
        <v>2.9618805970149253</v>
      </c>
      <c r="AE42" s="23">
        <f t="shared" si="17"/>
        <v>2.9618805970149253</v>
      </c>
      <c r="AF42" s="23">
        <f t="shared" si="17"/>
        <v>2.9618805970149253</v>
      </c>
      <c r="AG42" s="23">
        <f t="shared" si="17"/>
        <v>2.9618805970149253</v>
      </c>
      <c r="AH42" s="23">
        <f t="shared" si="17"/>
        <v>2.9618805970149253</v>
      </c>
      <c r="AI42" s="23">
        <f t="shared" si="17"/>
        <v>2.9618805970149253</v>
      </c>
      <c r="AJ42" s="23">
        <f t="shared" si="17"/>
        <v>2.9618805970149253</v>
      </c>
      <c r="AK42" s="23">
        <f t="shared" si="17"/>
        <v>2.9618805970149253</v>
      </c>
      <c r="AL42" s="23">
        <f t="shared" ref="AL42" si="18">AL29*AL36+SUMPRODUCT(AL31:AL34,AL37:AL40)</f>
        <v>2.9618805970149253</v>
      </c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</row>
    <row r="43" spans="1:49" x14ac:dyDescent="0.25">
      <c r="A43" s="24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</row>
    <row r="44" spans="1:49" x14ac:dyDescent="0.25">
      <c r="A44" s="24" t="s">
        <v>256</v>
      </c>
      <c r="O44" s="60">
        <f>O37</f>
        <v>0.47429519071310117</v>
      </c>
      <c r="P44" s="60">
        <f>O44</f>
        <v>0.47429519071310117</v>
      </c>
      <c r="Q44" s="60">
        <f t="shared" ref="Q44:AL44" si="19">P44</f>
        <v>0.47429519071310117</v>
      </c>
      <c r="R44" s="60">
        <f t="shared" si="19"/>
        <v>0.47429519071310117</v>
      </c>
      <c r="S44" s="60">
        <f t="shared" si="19"/>
        <v>0.47429519071310117</v>
      </c>
      <c r="T44" s="60">
        <f t="shared" si="19"/>
        <v>0.47429519071310117</v>
      </c>
      <c r="U44" s="60">
        <f t="shared" si="19"/>
        <v>0.47429519071310117</v>
      </c>
      <c r="V44" s="60">
        <f t="shared" si="19"/>
        <v>0.47429519071310117</v>
      </c>
      <c r="W44" s="60">
        <f t="shared" si="19"/>
        <v>0.47429519071310117</v>
      </c>
      <c r="X44" s="60">
        <f t="shared" si="19"/>
        <v>0.47429519071310117</v>
      </c>
      <c r="Y44" s="60">
        <f t="shared" si="19"/>
        <v>0.47429519071310117</v>
      </c>
      <c r="Z44" s="60">
        <f t="shared" si="19"/>
        <v>0.47429519071310117</v>
      </c>
      <c r="AA44" s="60">
        <f t="shared" si="19"/>
        <v>0.47429519071310117</v>
      </c>
      <c r="AB44" s="60">
        <f t="shared" si="19"/>
        <v>0.47429519071310117</v>
      </c>
      <c r="AC44" s="60">
        <f t="shared" si="19"/>
        <v>0.47429519071310117</v>
      </c>
      <c r="AD44" s="60">
        <f t="shared" si="19"/>
        <v>0.47429519071310117</v>
      </c>
      <c r="AE44" s="60">
        <f t="shared" si="19"/>
        <v>0.47429519071310117</v>
      </c>
      <c r="AF44" s="60">
        <f t="shared" si="19"/>
        <v>0.47429519071310117</v>
      </c>
      <c r="AG44" s="60">
        <f t="shared" si="19"/>
        <v>0.47429519071310117</v>
      </c>
      <c r="AH44" s="60">
        <f t="shared" si="19"/>
        <v>0.47429519071310117</v>
      </c>
      <c r="AI44" s="60">
        <f t="shared" si="19"/>
        <v>0.47429519071310117</v>
      </c>
      <c r="AJ44" s="60">
        <f t="shared" si="19"/>
        <v>0.47429519071310117</v>
      </c>
      <c r="AK44" s="60">
        <f t="shared" si="19"/>
        <v>0.47429519071310117</v>
      </c>
      <c r="AL44" s="60">
        <f t="shared" si="19"/>
        <v>0.47429519071310117</v>
      </c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</row>
    <row r="45" spans="1:49" x14ac:dyDescent="0.25">
      <c r="A45" s="24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</row>
    <row r="46" spans="1:49" x14ac:dyDescent="0.25">
      <c r="A46" s="24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</row>
    <row r="47" spans="1:49" x14ac:dyDescent="0.25">
      <c r="A47" s="24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</row>
    <row r="48" spans="1:49" x14ac:dyDescent="0.25">
      <c r="A48" s="24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</row>
    <row r="49" spans="1:82" x14ac:dyDescent="0.25">
      <c r="AR49" s="23"/>
      <c r="AS49" s="23"/>
      <c r="AT49" s="23"/>
      <c r="AU49" s="23"/>
      <c r="AV49" s="23"/>
      <c r="AW49" s="23"/>
    </row>
    <row r="50" spans="1:82" x14ac:dyDescent="0.25">
      <c r="AR50" s="23"/>
      <c r="AS50" s="23"/>
      <c r="AT50" s="23"/>
      <c r="AU50" s="23"/>
      <c r="AV50" s="23"/>
      <c r="AW50" s="23"/>
    </row>
    <row r="51" spans="1:82" x14ac:dyDescent="0.25">
      <c r="AR51" s="23"/>
      <c r="AS51" s="23"/>
      <c r="AT51" s="23"/>
      <c r="AU51" s="23"/>
      <c r="AV51" s="23"/>
      <c r="AW51" s="23"/>
    </row>
    <row r="52" spans="1:82" x14ac:dyDescent="0.25">
      <c r="F52" s="23"/>
      <c r="G52" s="23"/>
      <c r="H52" s="23"/>
      <c r="I52" s="23"/>
      <c r="J52" s="23"/>
      <c r="K52" s="23"/>
      <c r="AR52" s="23"/>
      <c r="AS52" s="23"/>
      <c r="AT52" s="23"/>
      <c r="AU52" s="23"/>
      <c r="AV52" s="23"/>
      <c r="AW52" s="23"/>
    </row>
    <row r="53" spans="1:82" s="19" customFormat="1" x14ac:dyDescent="0.25">
      <c r="B53"/>
      <c r="F53" s="23"/>
      <c r="G53" s="23"/>
      <c r="H53" s="23"/>
      <c r="I53" s="23"/>
      <c r="J53" s="23"/>
      <c r="K53" s="23"/>
      <c r="AR53" s="23"/>
      <c r="AS53" s="23"/>
      <c r="AT53" s="23"/>
      <c r="AU53" s="23"/>
      <c r="AV53" s="23"/>
      <c r="AW53" s="23"/>
    </row>
    <row r="54" spans="1:82" s="19" customFormat="1" x14ac:dyDescent="0.25">
      <c r="F54" s="23"/>
      <c r="G54" s="23"/>
      <c r="H54" s="23"/>
      <c r="I54" s="23"/>
      <c r="J54" s="23"/>
      <c r="K54" s="23"/>
      <c r="AR54" s="23"/>
      <c r="AS54" s="23"/>
      <c r="AT54" s="23"/>
      <c r="AU54" s="23"/>
      <c r="AV54" s="23"/>
      <c r="AW54" s="23"/>
    </row>
    <row r="55" spans="1:82" s="19" customFormat="1" x14ac:dyDescent="0.25">
      <c r="AR55" s="23"/>
      <c r="AS55" s="23"/>
      <c r="AT55" s="23"/>
      <c r="AU55" s="23"/>
      <c r="AV55" s="23"/>
      <c r="AW55" s="23"/>
    </row>
    <row r="56" spans="1:82" x14ac:dyDescent="0.25">
      <c r="A56" s="19"/>
      <c r="B56" s="19"/>
      <c r="C56" s="19"/>
      <c r="D56" s="19"/>
      <c r="E56" s="23"/>
      <c r="F56" s="23"/>
      <c r="G56" s="23"/>
      <c r="H56" s="23"/>
      <c r="I56" s="23"/>
      <c r="J56" s="23"/>
      <c r="K56" s="23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23"/>
      <c r="AS56" s="23"/>
      <c r="AT56" s="23"/>
      <c r="AU56" s="23"/>
      <c r="AV56" s="23"/>
      <c r="AW56" s="23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</row>
    <row r="57" spans="1:82" x14ac:dyDescent="0.25">
      <c r="A57" s="19"/>
      <c r="E57" s="23"/>
      <c r="F57" s="23"/>
      <c r="G57" s="23"/>
      <c r="H57" s="23"/>
      <c r="I57" s="23"/>
      <c r="J57" s="23"/>
      <c r="K57" s="23"/>
      <c r="AR57" s="23"/>
      <c r="AS57" s="23"/>
      <c r="AT57" s="23"/>
      <c r="AU57" s="23"/>
      <c r="AV57" s="23"/>
      <c r="AW57" s="23"/>
    </row>
    <row r="58" spans="1:82" x14ac:dyDescent="0.25">
      <c r="AR58" s="23"/>
      <c r="AS58" s="23"/>
      <c r="AT58" s="23"/>
      <c r="AU58" s="23"/>
      <c r="AV58" s="23"/>
      <c r="AW58" s="23"/>
    </row>
    <row r="59" spans="1:82" x14ac:dyDescent="0.25">
      <c r="A59" s="19"/>
      <c r="AR59" s="23"/>
      <c r="AS59" s="23"/>
      <c r="AT59" s="23"/>
      <c r="AU59" s="23"/>
      <c r="AV59" s="23"/>
      <c r="AW59" s="23"/>
    </row>
    <row r="60" spans="1:82" x14ac:dyDescent="0.25">
      <c r="A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AR60" s="23"/>
      <c r="AS60" s="23"/>
      <c r="AT60" s="23"/>
      <c r="AU60" s="23"/>
      <c r="AV60" s="23"/>
      <c r="AW60" s="23"/>
    </row>
    <row r="61" spans="1:82" x14ac:dyDescent="0.2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AR61" s="23"/>
      <c r="AS61" s="23"/>
      <c r="AT61" s="23"/>
      <c r="AU61" s="23"/>
      <c r="AV61" s="23"/>
      <c r="AW61" s="23"/>
    </row>
    <row r="62" spans="1:82" x14ac:dyDescent="0.25">
      <c r="A62" s="19"/>
      <c r="B62" s="20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AR62" s="23"/>
      <c r="AS62" s="23"/>
      <c r="AT62" s="23"/>
      <c r="AU62" s="23"/>
      <c r="AV62" s="23"/>
      <c r="AW62" s="23"/>
    </row>
    <row r="63" spans="1:82" x14ac:dyDescent="0.25">
      <c r="A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</row>
    <row r="64" spans="1:82" x14ac:dyDescent="0.25">
      <c r="A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</row>
    <row r="65" spans="1:14" x14ac:dyDescent="0.25">
      <c r="A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</row>
    <row r="70" spans="1:14" s="24" customFormat="1" x14ac:dyDescent="0.25">
      <c r="B70"/>
    </row>
    <row r="71" spans="1:14" x14ac:dyDescent="0.25">
      <c r="B71" s="24"/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How to interface with Web tool</vt:lpstr>
      <vt:lpstr>machine_readable</vt:lpstr>
      <vt:lpstr>For user (EN)</vt:lpstr>
      <vt:lpstr>Model</vt:lpstr>
      <vt:lpstr>Model Quarterly</vt:lpstr>
      <vt:lpstr>Decomposition</vt:lpstr>
      <vt:lpstr>Fiscal Model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Bergeron, Étienne</dc:creator>
  <cp:lastModifiedBy>Robert-Ouimet, Jean-Simon : PBO-DPB</cp:lastModifiedBy>
  <dcterms:created xsi:type="dcterms:W3CDTF">2019-03-06T17:58:40Z</dcterms:created>
  <dcterms:modified xsi:type="dcterms:W3CDTF">2026-07-14T13:58:25Z</dcterms:modified>
</cp:coreProperties>
</file>