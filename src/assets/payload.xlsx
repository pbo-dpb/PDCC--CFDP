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jean-simon_robert-ouimet_parl_gc_ca/Documents/Downloads/"/>
    </mc:Choice>
  </mc:AlternateContent>
  <xr:revisionPtr revIDLastSave="0" documentId="8_{DF29CB74-12C1-420A-BCF9-2C5FFF11CF6D}" xr6:coauthVersionLast="47" xr6:coauthVersionMax="47" xr10:uidLastSave="{00000000-0000-0000-0000-000000000000}"/>
  <bookViews>
    <workbookView xWindow="-120" yWindow="-120" windowWidth="29040" windowHeight="15720" tabRatio="541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F5" i="2"/>
  <c r="G5" i="2"/>
  <c r="H5" i="2"/>
  <c r="D5" i="2"/>
  <c r="E4" i="2"/>
  <c r="F4" i="1" s="1"/>
  <c r="F4" i="2"/>
  <c r="G4" i="1" s="1"/>
  <c r="G4" i="2"/>
  <c r="H4" i="1" s="1"/>
  <c r="H4" i="2"/>
  <c r="D4" i="2"/>
  <c r="I4" i="1"/>
  <c r="D26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Y5" i="9"/>
  <c r="Z5" i="9"/>
  <c r="AA5" i="9"/>
  <c r="X5" i="9"/>
  <c r="M11" i="7" l="1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3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I5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Q4" i="7"/>
  <c r="K4" i="6"/>
  <c r="E3" i="5" s="1"/>
  <c r="D4" i="6"/>
  <c r="E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E6" i="2"/>
  <c r="F6" i="2"/>
  <c r="G6" i="2"/>
  <c r="R37" i="5" l="1"/>
  <c r="P4" i="7"/>
  <c r="U7" i="9"/>
  <c r="V7" i="9"/>
  <c r="W7" i="9"/>
  <c r="T7" i="9"/>
  <c r="O4" i="7"/>
  <c r="P7" i="9"/>
  <c r="Q7" i="9"/>
  <c r="R7" i="9"/>
  <c r="S7" i="9"/>
  <c r="N4" i="7"/>
  <c r="M7" i="9"/>
  <c r="L7" i="9"/>
  <c r="N7" i="9"/>
  <c r="O7" i="9"/>
  <c r="M4" i="7"/>
  <c r="J7" i="9"/>
  <c r="K7" i="9"/>
  <c r="H7" i="9"/>
  <c r="H19" i="9" s="1"/>
  <c r="I7" i="9"/>
  <c r="S37" i="5" l="1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D67" i="9"/>
  <c r="D69" i="9" s="1"/>
  <c r="Y36" i="5"/>
  <c r="V38" i="5"/>
  <c r="U42" i="5"/>
  <c r="J16" i="9" s="1"/>
  <c r="J19" i="9" s="1"/>
  <c r="E21" i="5"/>
  <c r="D40" i="9" l="1"/>
  <c r="D42" i="9"/>
  <c r="D71" i="9" s="1"/>
  <c r="E20" i="9" s="1"/>
  <c r="D36" i="9"/>
  <c r="E52" i="9"/>
  <c r="E55" i="9" s="1"/>
  <c r="AG37" i="5"/>
  <c r="W38" i="5"/>
  <c r="V42" i="5"/>
  <c r="K16" i="9" s="1"/>
  <c r="K19" i="9" s="1"/>
  <c r="E20" i="1" s="1"/>
  <c r="Z36" i="5"/>
  <c r="E74" i="9" l="1"/>
  <c r="E76" i="9" s="1"/>
  <c r="E21" i="9"/>
  <c r="E75" i="9" s="1"/>
  <c r="AH37" i="5"/>
  <c r="X38" i="5"/>
  <c r="W42" i="5"/>
  <c r="L16" i="9" s="1"/>
  <c r="L19" i="9" s="1"/>
  <c r="AA36" i="5"/>
  <c r="H2" i="1"/>
  <c r="I2" i="1" s="1"/>
  <c r="H1" i="1"/>
  <c r="I1" i="1" s="1"/>
  <c r="E22" i="9" l="1"/>
  <c r="E33" i="9" s="1"/>
  <c r="AI37" i="5"/>
  <c r="Y38" i="5"/>
  <c r="X42" i="5"/>
  <c r="M16" i="9" s="1"/>
  <c r="M19" i="9" s="1"/>
  <c r="AB36" i="5"/>
  <c r="E31" i="9" l="1"/>
  <c r="E25" i="9"/>
  <c r="E30" i="9"/>
  <c r="E29" i="9"/>
  <c r="E32" i="9"/>
  <c r="AJ37" i="5"/>
  <c r="E39" i="9"/>
  <c r="AC36" i="5"/>
  <c r="Z38" i="5"/>
  <c r="Y42" i="5"/>
  <c r="N16" i="9" s="1"/>
  <c r="N19" i="9" s="1"/>
  <c r="E42" i="9" l="1"/>
  <c r="E26" i="9"/>
  <c r="E28" i="9" s="1"/>
  <c r="E65" i="9"/>
  <c r="E41" i="9"/>
  <c r="E67" i="9" s="1"/>
  <c r="E64" i="9"/>
  <c r="E38" i="9"/>
  <c r="E47" i="9" s="1"/>
  <c r="E36" i="9"/>
  <c r="E37" i="9"/>
  <c r="E46" i="9" s="1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F20" i="1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33" i="9" s="1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G20" i="1" s="1"/>
  <c r="F26" i="9" l="1"/>
  <c r="F28" i="9" s="1"/>
  <c r="F64" i="9"/>
  <c r="F38" i="9"/>
  <c r="F47" i="9" s="1"/>
  <c r="F65" i="9"/>
  <c r="F37" i="9"/>
  <c r="F41" i="9"/>
  <c r="F49" i="9" s="1"/>
  <c r="F39" i="9"/>
  <c r="F48" i="9" s="1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G33" i="9" s="1"/>
  <c r="AI38" i="5"/>
  <c r="AH42" i="5"/>
  <c r="W16" i="9" s="1"/>
  <c r="W19" i="9" s="1"/>
  <c r="H20" i="1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G26" i="9" l="1"/>
  <c r="G28" i="9" s="1"/>
  <c r="D26" i="1" s="1"/>
  <c r="D30" i="1"/>
  <c r="D49" i="1"/>
  <c r="D46" i="1"/>
  <c r="D48" i="1"/>
  <c r="D45" i="1"/>
  <c r="D47" i="1"/>
  <c r="G41" i="9"/>
  <c r="D44" i="1" s="1"/>
  <c r="G64" i="9"/>
  <c r="G39" i="9"/>
  <c r="G65" i="9"/>
  <c r="G38" i="9"/>
  <c r="G37" i="9"/>
  <c r="D40" i="1" s="1"/>
  <c r="G49" i="9"/>
  <c r="G48" i="9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I20" i="1" l="1"/>
  <c r="G71" i="9"/>
  <c r="H20" i="9" l="1"/>
  <c r="H21" i="9" s="1"/>
  <c r="H22" i="9" l="1"/>
  <c r="H74" i="9"/>
  <c r="H76" i="9" s="1"/>
  <c r="H25" i="9" l="1"/>
  <c r="H75" i="9"/>
  <c r="H31" i="9"/>
  <c r="H39" i="9" s="1"/>
  <c r="H48" i="9" s="1"/>
  <c r="H32" i="9"/>
  <c r="H41" i="9" s="1"/>
  <c r="H49" i="9" s="1"/>
  <c r="H30" i="9"/>
  <c r="H65" i="9" s="1"/>
  <c r="H29" i="9"/>
  <c r="H64" i="9" s="1"/>
  <c r="H26" i="9" l="1"/>
  <c r="H28" i="9" s="1"/>
  <c r="H33" i="9" s="1"/>
  <c r="H37" i="9"/>
  <c r="H46" i="9" s="1"/>
  <c r="H38" i="9"/>
  <c r="H47" i="9" s="1"/>
  <c r="H66" i="9"/>
  <c r="H68" i="9" s="1"/>
  <c r="H67" i="9"/>
  <c r="H69" i="9" s="1"/>
  <c r="I52" i="9" l="1"/>
  <c r="I55" i="9" s="1"/>
  <c r="H36" i="9"/>
  <c r="H42" i="9"/>
  <c r="H71" i="9" s="1"/>
  <c r="H40" i="9"/>
  <c r="I20" i="9" l="1"/>
  <c r="I21" i="9" s="1"/>
  <c r="I74" i="9" l="1"/>
  <c r="I75" i="9"/>
  <c r="I22" i="9"/>
  <c r="I76" i="9"/>
  <c r="I25" i="9" l="1"/>
  <c r="I32" i="9"/>
  <c r="I41" i="9" s="1"/>
  <c r="I49" i="9" s="1"/>
  <c r="I29" i="9"/>
  <c r="I64" i="9" s="1"/>
  <c r="I30" i="9"/>
  <c r="I65" i="9" s="1"/>
  <c r="I31" i="9"/>
  <c r="I26" i="9" l="1"/>
  <c r="I28" i="9" s="1"/>
  <c r="I33" i="9" s="1"/>
  <c r="I37" i="9"/>
  <c r="I46" i="9" s="1"/>
  <c r="I39" i="9"/>
  <c r="I48" i="9" s="1"/>
  <c r="I38" i="9"/>
  <c r="I47" i="9" s="1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75" i="9" s="1"/>
  <c r="J22" i="9" l="1"/>
  <c r="J25" i="9" s="1"/>
  <c r="J26" i="9" s="1"/>
  <c r="J31" i="9" l="1"/>
  <c r="J30" i="9"/>
  <c r="J65" i="9" s="1"/>
  <c r="J32" i="9"/>
  <c r="J29" i="9"/>
  <c r="J37" i="9" s="1"/>
  <c r="J46" i="9" s="1"/>
  <c r="J41" i="9"/>
  <c r="J39" i="9"/>
  <c r="J48" i="9" s="1"/>
  <c r="J38" i="9"/>
  <c r="J47" i="9" s="1"/>
  <c r="J64" i="9"/>
  <c r="J28" i="9"/>
  <c r="J33" i="9" s="1"/>
  <c r="J42" i="9" l="1"/>
  <c r="K52" i="9"/>
  <c r="K55" i="9" s="1"/>
  <c r="E33" i="1" s="1"/>
  <c r="M22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D11" i="2"/>
  <c r="M7" i="7" s="1"/>
  <c r="M18" i="7"/>
  <c r="K25" i="9" l="1"/>
  <c r="D12" i="2"/>
  <c r="M6" i="7" s="1"/>
  <c r="D10" i="2"/>
  <c r="D13" i="2" s="1"/>
  <c r="M8" i="7" s="1"/>
  <c r="E21" i="1"/>
  <c r="E55" i="1"/>
  <c r="K31" i="9"/>
  <c r="E29" i="1" s="1"/>
  <c r="K29" i="9"/>
  <c r="K30" i="9"/>
  <c r="K32" i="9"/>
  <c r="K39" i="9" l="1"/>
  <c r="E42" i="1" s="1"/>
  <c r="E48" i="1" s="1"/>
  <c r="K26" i="9"/>
  <c r="K28" i="9" s="1"/>
  <c r="M16" i="7"/>
  <c r="E22" i="1"/>
  <c r="K41" i="9"/>
  <c r="E44" i="1" s="1"/>
  <c r="M26" i="7" s="1"/>
  <c r="E31" i="1"/>
  <c r="M21" i="7" s="1"/>
  <c r="K65" i="9"/>
  <c r="E28" i="1"/>
  <c r="K37" i="9"/>
  <c r="E40" i="1" s="1"/>
  <c r="E46" i="1" s="1"/>
  <c r="E27" i="1"/>
  <c r="M5" i="7"/>
  <c r="K38" i="9"/>
  <c r="E30" i="1" l="1"/>
  <c r="M20" i="7" s="1"/>
  <c r="K48" i="9"/>
  <c r="K66" i="9"/>
  <c r="K68" i="9" s="1"/>
  <c r="E26" i="1"/>
  <c r="M19" i="7" s="1"/>
  <c r="K33" i="9"/>
  <c r="K67" i="9"/>
  <c r="K69" i="9" s="1"/>
  <c r="E49" i="1"/>
  <c r="K49" i="9"/>
  <c r="L56" i="9"/>
  <c r="L59" i="9" s="1"/>
  <c r="K40" i="9"/>
  <c r="E43" i="1" s="1"/>
  <c r="M25" i="7" s="1"/>
  <c r="K46" i="9"/>
  <c r="M17" i="7"/>
  <c r="K64" i="9"/>
  <c r="E41" i="1"/>
  <c r="E47" i="1" s="1"/>
  <c r="K47" i="9"/>
  <c r="K42" i="9" l="1"/>
  <c r="K36" i="9"/>
  <c r="E39" i="1" s="1"/>
  <c r="M24" i="7" s="1"/>
  <c r="L52" i="9"/>
  <c r="L55" i="9" s="1"/>
  <c r="K71" i="9"/>
  <c r="L20" i="9" s="1"/>
  <c r="L21" i="9" s="1"/>
  <c r="L22" i="9" s="1"/>
  <c r="L25" i="9" s="1"/>
  <c r="E45" i="1" l="1"/>
  <c r="L26" i="9"/>
  <c r="L75" i="9"/>
  <c r="L74" i="9"/>
  <c r="L76" i="9" s="1"/>
  <c r="L32" i="9"/>
  <c r="L30" i="9" l="1"/>
  <c r="L29" i="9"/>
  <c r="L31" i="9"/>
  <c r="L41" i="9"/>
  <c r="L67" i="9" s="1"/>
  <c r="L39" i="9" l="1"/>
  <c r="L66" i="9" s="1"/>
  <c r="L68" i="9" s="1"/>
  <c r="L37" i="9"/>
  <c r="M56" i="9" s="1"/>
  <c r="L65" i="9"/>
  <c r="L38" i="9"/>
  <c r="L47" i="9" s="1"/>
  <c r="L28" i="9"/>
  <c r="L33" i="9" s="1"/>
  <c r="L36" i="9" s="1"/>
  <c r="L49" i="9"/>
  <c r="L69" i="9"/>
  <c r="L42" i="9" l="1"/>
  <c r="M52" i="9"/>
  <c r="M55" i="9" s="1"/>
  <c r="L46" i="9"/>
  <c r="L48" i="9"/>
  <c r="M59" i="9"/>
  <c r="L64" i="9"/>
  <c r="L40" i="9"/>
  <c r="L71" i="9" l="1"/>
  <c r="M20" i="9" s="1"/>
  <c r="M74" i="9" s="1"/>
  <c r="M76" i="9" s="1"/>
  <c r="M21" i="9" l="1"/>
  <c r="M75" i="9" s="1"/>
  <c r="M22" i="9" l="1"/>
  <c r="M25" i="9" s="1"/>
  <c r="M32" i="9" l="1"/>
  <c r="M31" i="9"/>
  <c r="M39" i="9" s="1"/>
  <c r="M30" i="9"/>
  <c r="M65" i="9" s="1"/>
  <c r="M29" i="9"/>
  <c r="M26" i="9"/>
  <c r="M28" i="9" s="1"/>
  <c r="M33" i="9" s="1"/>
  <c r="M37" i="9"/>
  <c r="M41" i="9"/>
  <c r="M38" i="9" l="1"/>
  <c r="M47" i="9" s="1"/>
  <c r="M46" i="9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26" i="9" s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28" i="9"/>
  <c r="N33" i="9" s="1"/>
  <c r="N49" i="9" l="1"/>
  <c r="N69" i="9"/>
  <c r="N66" i="9"/>
  <c r="N68" i="9" s="1"/>
  <c r="N48" i="9"/>
  <c r="N40" i="9"/>
  <c r="O56" i="9"/>
  <c r="N64" i="9"/>
  <c r="O52" i="9"/>
  <c r="O55" i="9" s="1"/>
  <c r="F33" i="1" s="1"/>
  <c r="N22" i="7" s="1"/>
  <c r="N36" i="9"/>
  <c r="N42" i="9"/>
  <c r="O59" i="9" l="1"/>
  <c r="F37" i="1" s="1"/>
  <c r="N23" i="7" s="1"/>
  <c r="F34" i="1"/>
  <c r="N71" i="9"/>
  <c r="O20" i="9" s="1"/>
  <c r="O74" i="9" s="1"/>
  <c r="O76" i="9" l="1"/>
  <c r="F53" i="1"/>
  <c r="F21" i="1" s="1"/>
  <c r="N16" i="7" s="1"/>
  <c r="O21" i="9"/>
  <c r="O75" i="9" s="1"/>
  <c r="F54" i="1" s="1"/>
  <c r="O22" i="9" l="1"/>
  <c r="E11" i="2"/>
  <c r="N7" i="7" s="1"/>
  <c r="F23" i="1"/>
  <c r="F22" i="1"/>
  <c r="E10" i="2"/>
  <c r="E12" i="2"/>
  <c r="N6" i="7" s="1"/>
  <c r="F55" i="1"/>
  <c r="O31" i="9" l="1"/>
  <c r="O30" i="9"/>
  <c r="O25" i="9"/>
  <c r="O26" i="9" s="1"/>
  <c r="O29" i="9"/>
  <c r="O32" i="9"/>
  <c r="N5" i="7"/>
  <c r="E13" i="2"/>
  <c r="N8" i="7" s="1"/>
  <c r="N17" i="7"/>
  <c r="N18" i="7"/>
  <c r="O41" i="9" l="1"/>
  <c r="O49" i="9" s="1"/>
  <c r="F31" i="1"/>
  <c r="N21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28" i="9"/>
  <c r="O33" i="9" s="1"/>
  <c r="P52" i="9" s="1"/>
  <c r="P55" i="9" s="1"/>
  <c r="F44" i="1"/>
  <c r="P57" i="9" l="1"/>
  <c r="O46" i="9"/>
  <c r="F40" i="1"/>
  <c r="F46" i="1" s="1"/>
  <c r="O42" i="9"/>
  <c r="O36" i="9"/>
  <c r="O67" i="9"/>
  <c r="O69" i="9" s="1"/>
  <c r="F30" i="1"/>
  <c r="N20" i="7" s="1"/>
  <c r="P59" i="9"/>
  <c r="O64" i="9"/>
  <c r="F26" i="1"/>
  <c r="N19" i="7" s="1"/>
  <c r="O47" i="9"/>
  <c r="O66" i="9"/>
  <c r="O68" i="9" s="1"/>
  <c r="O40" i="9"/>
  <c r="F43" i="1" s="1"/>
  <c r="N25" i="7" s="1"/>
  <c r="O48" i="9"/>
  <c r="F39" i="1"/>
  <c r="F45" i="1" s="1"/>
  <c r="N26" i="7"/>
  <c r="F49" i="1"/>
  <c r="O71" i="9" l="1"/>
  <c r="P20" i="9" s="1"/>
  <c r="P21" i="9" s="1"/>
  <c r="N24" i="7"/>
  <c r="P75" i="9" l="1"/>
  <c r="P74" i="9"/>
  <c r="P22" i="9" l="1"/>
  <c r="P76" i="9"/>
  <c r="P25" i="9" l="1"/>
  <c r="P26" i="9" s="1"/>
  <c r="P31" i="9"/>
  <c r="P32" i="9"/>
  <c r="P29" i="9"/>
  <c r="P37" i="9" s="1"/>
  <c r="P30" i="9"/>
  <c r="P65" i="9" l="1"/>
  <c r="P46" i="9"/>
  <c r="P41" i="9"/>
  <c r="P49" i="9" s="1"/>
  <c r="P39" i="9"/>
  <c r="P66" i="9" s="1"/>
  <c r="P68" i="9" s="1"/>
  <c r="P67" i="9"/>
  <c r="P69" i="9" s="1"/>
  <c r="Q56" i="9"/>
  <c r="P28" i="9"/>
  <c r="P33" i="9" s="1"/>
  <c r="Q52" i="9" s="1"/>
  <c r="Q55" i="9" s="1"/>
  <c r="P38" i="9"/>
  <c r="P42" i="9" l="1"/>
  <c r="P40" i="9"/>
  <c r="P48" i="9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 l="1"/>
  <c r="Q31" i="9" l="1"/>
  <c r="Q39" i="9" s="1"/>
  <c r="Q48" i="9" s="1"/>
  <c r="Q29" i="9"/>
  <c r="Q37" i="9" s="1"/>
  <c r="R56" i="9" s="1"/>
  <c r="Q32" i="9"/>
  <c r="Q41" i="9" s="1"/>
  <c r="Q25" i="9"/>
  <c r="Q26" i="9" s="1"/>
  <c r="Q30" i="9"/>
  <c r="Q65" i="9" s="1"/>
  <c r="Q38" i="9"/>
  <c r="Q28" i="9" l="1"/>
  <c r="Q49" i="9"/>
  <c r="Q40" i="9"/>
  <c r="Q46" i="9"/>
  <c r="Q66" i="9"/>
  <c r="Q68" i="9" s="1"/>
  <c r="Q67" i="9"/>
  <c r="Q69" i="9" s="1"/>
  <c r="R57" i="9"/>
  <c r="Q47" i="9"/>
  <c r="Q64" i="9" l="1"/>
  <c r="Q33" i="9"/>
  <c r="R59" i="9"/>
  <c r="R52" i="9" l="1"/>
  <c r="R55" i="9" s="1"/>
  <c r="Q42" i="9"/>
  <c r="Q71" i="9" s="1"/>
  <c r="R20" i="9" s="1"/>
  <c r="R21" i="9" s="1"/>
  <c r="R75" i="9" s="1"/>
  <c r="Q36" i="9"/>
  <c r="R74" i="9" l="1"/>
  <c r="R22" i="9"/>
  <c r="R76" i="9"/>
  <c r="R31" i="9" l="1"/>
  <c r="R29" i="9"/>
  <c r="R25" i="9"/>
  <c r="R26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3" i="9" s="1"/>
  <c r="R42" i="9" s="1"/>
  <c r="R38" i="9"/>
  <c r="S57" i="9" s="1"/>
  <c r="S52" i="9"/>
  <c r="S55" i="9" s="1"/>
  <c r="G33" i="1" s="1"/>
  <c r="O22" i="7" s="1"/>
  <c r="R36" i="9"/>
  <c r="R67" i="9" l="1"/>
  <c r="R69" i="9" s="1"/>
  <c r="R46" i="9"/>
  <c r="R66" i="9"/>
  <c r="R68" i="9" s="1"/>
  <c r="S59" i="9"/>
  <c r="G37" i="1" s="1"/>
  <c r="O23" i="7" s="1"/>
  <c r="G35" i="1"/>
  <c r="R64" i="9"/>
  <c r="R40" i="9"/>
  <c r="R47" i="9"/>
  <c r="R71" i="9" l="1"/>
  <c r="S20" i="9" s="1"/>
  <c r="S21" i="9" s="1"/>
  <c r="S75" i="9" s="1"/>
  <c r="G54" i="1" s="1"/>
  <c r="S74" i="9" l="1"/>
  <c r="S76" i="9" s="1"/>
  <c r="S22" i="9"/>
  <c r="G23" i="1"/>
  <c r="F11" i="2"/>
  <c r="O7" i="7" s="1"/>
  <c r="S25" i="9" l="1"/>
  <c r="S26" i="9" s="1"/>
  <c r="G53" i="1"/>
  <c r="F10" i="2" s="1"/>
  <c r="S29" i="9"/>
  <c r="S31" i="9"/>
  <c r="G29" i="1" s="1"/>
  <c r="S30" i="9"/>
  <c r="S32" i="9"/>
  <c r="G31" i="1" s="1"/>
  <c r="O21" i="7" s="1"/>
  <c r="O18" i="7"/>
  <c r="G21" i="1"/>
  <c r="O16" i="7" s="1"/>
  <c r="S28" i="9"/>
  <c r="S33" i="9" s="1"/>
  <c r="G55" i="1" l="1"/>
  <c r="S39" i="9"/>
  <c r="F12" i="2"/>
  <c r="O6" i="7" s="1"/>
  <c r="S41" i="9"/>
  <c r="S67" i="9" s="1"/>
  <c r="S69" i="9" s="1"/>
  <c r="S64" i="9"/>
  <c r="G26" i="1"/>
  <c r="O19" i="7" s="1"/>
  <c r="S65" i="9"/>
  <c r="G28" i="1"/>
  <c r="S37" i="9"/>
  <c r="T56" i="9" s="1"/>
  <c r="G27" i="1"/>
  <c r="S38" i="9"/>
  <c r="G41" i="1" s="1"/>
  <c r="G47" i="1" s="1"/>
  <c r="S48" i="9"/>
  <c r="G42" i="1"/>
  <c r="G48" i="1" s="1"/>
  <c r="O5" i="7"/>
  <c r="F13" i="2"/>
  <c r="O8" i="7" s="1"/>
  <c r="S49" i="9"/>
  <c r="G22" i="1"/>
  <c r="O17" i="7" s="1"/>
  <c r="S36" i="9"/>
  <c r="S42" i="9"/>
  <c r="T52" i="9"/>
  <c r="T55" i="9" s="1"/>
  <c r="S66" i="9"/>
  <c r="S68" i="9" s="1"/>
  <c r="G44" i="1" l="1"/>
  <c r="G30" i="1"/>
  <c r="O20" i="7" s="1"/>
  <c r="S47" i="9"/>
  <c r="T57" i="9"/>
  <c r="T59" i="9" s="1"/>
  <c r="G40" i="1"/>
  <c r="G46" i="1" s="1"/>
  <c r="S46" i="9"/>
  <c r="S71" i="9" s="1"/>
  <c r="S40" i="9"/>
  <c r="G43" i="1" s="1"/>
  <c r="O25" i="7" s="1"/>
  <c r="O26" i="7"/>
  <c r="G49" i="1"/>
  <c r="G39" i="1"/>
  <c r="T20" i="9" l="1"/>
  <c r="T74" i="9" s="1"/>
  <c r="T76" i="9" s="1"/>
  <c r="O24" i="7"/>
  <c r="G45" i="1"/>
  <c r="T21" i="9" l="1"/>
  <c r="T75" i="9" s="1"/>
  <c r="T22" i="9" l="1"/>
  <c r="T31" i="9" l="1"/>
  <c r="T25" i="9"/>
  <c r="T26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T33" i="9" s="1"/>
  <c r="U52" i="9" s="1"/>
  <c r="U55" i="9" s="1"/>
  <c r="T42" i="9" l="1"/>
  <c r="U56" i="9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l="1"/>
  <c r="U26" i="9" s="1"/>
  <c r="U32" i="9"/>
  <c r="U29" i="9"/>
  <c r="U30" i="9"/>
  <c r="U31" i="9"/>
  <c r="U28" i="9" l="1"/>
  <c r="U33" i="9" s="1"/>
  <c r="U39" i="9"/>
  <c r="U48" i="9" s="1"/>
  <c r="U65" i="9"/>
  <c r="U37" i="9"/>
  <c r="V56" i="9" s="1"/>
  <c r="U41" i="9"/>
  <c r="U49" i="9" s="1"/>
  <c r="U38" i="9"/>
  <c r="V57" i="9" s="1"/>
  <c r="U42" i="9"/>
  <c r="V52" i="9"/>
  <c r="V55" i="9" s="1"/>
  <c r="U36" i="9"/>
  <c r="U64" i="9" l="1"/>
  <c r="U46" i="9"/>
  <c r="U66" i="9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l="1"/>
  <c r="V65" i="9" s="1"/>
  <c r="V31" i="9"/>
  <c r="V25" i="9"/>
  <c r="V26" i="9" s="1"/>
  <c r="V29" i="9"/>
  <c r="V37" i="9" s="1"/>
  <c r="W56" i="9" s="1"/>
  <c r="H34" i="1" s="1"/>
  <c r="V32" i="9"/>
  <c r="V38" i="9"/>
  <c r="W57" i="9" s="1"/>
  <c r="H35" i="1" s="1"/>
  <c r="V39" i="9"/>
  <c r="V48" i="9" s="1"/>
  <c r="V41" i="9"/>
  <c r="V49" i="9" s="1"/>
  <c r="V28" i="9" l="1"/>
  <c r="V46" i="9"/>
  <c r="W59" i="9"/>
  <c r="H37" i="1" s="1"/>
  <c r="P23" i="7" s="1"/>
  <c r="V47" i="9"/>
  <c r="V67" i="9"/>
  <c r="V69" i="9" s="1"/>
  <c r="V66" i="9"/>
  <c r="V68" i="9" s="1"/>
  <c r="V40" i="9"/>
  <c r="V64" i="9" l="1"/>
  <c r="V33" i="9"/>
  <c r="V36" i="9" l="1"/>
  <c r="W52" i="9"/>
  <c r="W55" i="9" s="1"/>
  <c r="H33" i="1" s="1"/>
  <c r="P22" i="7" s="1"/>
  <c r="V42" i="9"/>
  <c r="V71" i="9" s="1"/>
  <c r="W20" i="9" s="1"/>
  <c r="W21" i="9" s="1"/>
  <c r="W75" i="9" s="1"/>
  <c r="H54" i="1" s="1"/>
  <c r="W74" i="9" l="1"/>
  <c r="W22" i="9"/>
  <c r="W76" i="9"/>
  <c r="H53" i="1"/>
  <c r="G11" i="2"/>
  <c r="P7" i="7" s="1"/>
  <c r="H23" i="1"/>
  <c r="W32" i="9" l="1"/>
  <c r="W29" i="9"/>
  <c r="W25" i="9"/>
  <c r="W30" i="9"/>
  <c r="W31" i="9"/>
  <c r="P18" i="7"/>
  <c r="H21" i="1"/>
  <c r="P16" i="7" s="1"/>
  <c r="G12" i="2"/>
  <c r="P6" i="7" s="1"/>
  <c r="G10" i="2"/>
  <c r="H55" i="1"/>
  <c r="W26" i="9" l="1"/>
  <c r="W28" i="9" s="1"/>
  <c r="W33" i="9" s="1"/>
  <c r="X52" i="9" s="1"/>
  <c r="X55" i="9" s="1"/>
  <c r="W39" i="9"/>
  <c r="H42" i="1" s="1"/>
  <c r="H48" i="1" s="1"/>
  <c r="H29" i="1"/>
  <c r="W65" i="9"/>
  <c r="H28" i="1"/>
  <c r="W37" i="9"/>
  <c r="H40" i="1" s="1"/>
  <c r="H46" i="1" s="1"/>
  <c r="H27" i="1"/>
  <c r="W41" i="9"/>
  <c r="W49" i="9" s="1"/>
  <c r="H31" i="1"/>
  <c r="P21" i="7" s="1"/>
  <c r="W38" i="9"/>
  <c r="X57" i="9" s="1"/>
  <c r="W48" i="9"/>
  <c r="P5" i="7"/>
  <c r="G13" i="2"/>
  <c r="P8" i="7" s="1"/>
  <c r="H22" i="1"/>
  <c r="P17" i="7" s="1"/>
  <c r="X56" i="9" l="1"/>
  <c r="W46" i="9"/>
  <c r="W42" i="9"/>
  <c r="W66" i="9"/>
  <c r="W68" i="9" s="1"/>
  <c r="H30" i="1"/>
  <c r="P20" i="7" s="1"/>
  <c r="W47" i="9"/>
  <c r="W64" i="9"/>
  <c r="H26" i="1"/>
  <c r="P19" i="7" s="1"/>
  <c r="W67" i="9"/>
  <c r="W69" i="9" s="1"/>
  <c r="H44" i="1"/>
  <c r="H49" i="1" s="1"/>
  <c r="H41" i="1"/>
  <c r="H47" i="1" s="1"/>
  <c r="X59" i="9"/>
  <c r="W40" i="9"/>
  <c r="H43" i="1" s="1"/>
  <c r="P25" i="7" s="1"/>
  <c r="W36" i="9"/>
  <c r="H39" i="1" s="1"/>
  <c r="W71" i="9" l="1"/>
  <c r="X20" i="9" s="1"/>
  <c r="X74" i="9" s="1"/>
  <c r="P26" i="7"/>
  <c r="P24" i="7"/>
  <c r="H45" i="1"/>
  <c r="X21" i="9" l="1"/>
  <c r="X22" i="9" s="1"/>
  <c r="X76" i="9"/>
  <c r="X75" i="9" l="1"/>
  <c r="X25" i="9"/>
  <c r="X26" i="9" s="1"/>
  <c r="X29" i="9"/>
  <c r="X32" i="9"/>
  <c r="X31" i="9"/>
  <c r="X30" i="9"/>
  <c r="X38" i="9" l="1"/>
  <c r="Y57" i="9" s="1"/>
  <c r="X37" i="9"/>
  <c r="X46" i="9" s="1"/>
  <c r="X39" i="9"/>
  <c r="X41" i="9"/>
  <c r="X49" i="9" s="1"/>
  <c r="X47" i="9"/>
  <c r="X65" i="9"/>
  <c r="X28" i="9"/>
  <c r="X33" i="9" s="1"/>
  <c r="Y56" i="9" l="1"/>
  <c r="Y59" i="9" s="1"/>
  <c r="X67" i="9"/>
  <c r="X69" i="9" s="1"/>
  <c r="X40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41" i="9" s="1"/>
  <c r="Y49" i="9" s="1"/>
  <c r="Y31" i="9"/>
  <c r="Y30" i="9"/>
  <c r="Y25" i="9"/>
  <c r="Y26" i="9" s="1"/>
  <c r="Y29" i="9"/>
  <c r="Y39" i="9" l="1"/>
  <c r="Y48" i="9" s="1"/>
  <c r="Y37" i="9"/>
  <c r="Z56" i="9" s="1"/>
  <c r="Y28" i="9"/>
  <c r="Y33" i="9" s="1"/>
  <c r="Y38" i="9"/>
  <c r="Y65" i="9"/>
  <c r="Y67" i="9"/>
  <c r="Y69" i="9" s="1"/>
  <c r="Y66" i="9" l="1"/>
  <c r="Y68" i="9" s="1"/>
  <c r="Y46" i="9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l="1"/>
  <c r="Z65" i="9" s="1"/>
  <c r="Z32" i="9"/>
  <c r="Z41" i="9" s="1"/>
  <c r="Z49" i="9" s="1"/>
  <c r="Z31" i="9"/>
  <c r="Z39" i="9" s="1"/>
  <c r="Z48" i="9" s="1"/>
  <c r="Z29" i="9"/>
  <c r="Z25" i="9"/>
  <c r="Z38" i="9" l="1"/>
  <c r="AA57" i="9" s="1"/>
  <c r="I35" i="1" s="1"/>
  <c r="Z26" i="9"/>
  <c r="Z28" i="9" s="1"/>
  <c r="Z37" i="9"/>
  <c r="Z46" i="9" s="1"/>
  <c r="Z67" i="9"/>
  <c r="Z69" i="9" s="1"/>
  <c r="Z66" i="9"/>
  <c r="Z68" i="9" s="1"/>
  <c r="Z47" i="9" l="1"/>
  <c r="Z40" i="9"/>
  <c r="Z64" i="9"/>
  <c r="Z33" i="9"/>
  <c r="Z36" i="9" s="1"/>
  <c r="AA56" i="9"/>
  <c r="I34" i="1" s="1"/>
  <c r="AA52" i="9" l="1"/>
  <c r="AA55" i="9" s="1"/>
  <c r="I33" i="1" s="1"/>
  <c r="Q22" i="7" s="1"/>
  <c r="Z42" i="9"/>
  <c r="Z71" i="9" s="1"/>
  <c r="AA20" i="9" s="1"/>
  <c r="AA74" i="9" s="1"/>
  <c r="AA76" i="9" s="1"/>
  <c r="AA59" i="9"/>
  <c r="I37" i="1" s="1"/>
  <c r="Q23" i="7" s="1"/>
  <c r="AA21" i="9" l="1"/>
  <c r="AA75" i="9" s="1"/>
  <c r="I54" i="1" s="1"/>
  <c r="I23" i="1" s="1"/>
  <c r="I53" i="1"/>
  <c r="H11" i="2"/>
  <c r="Q7" i="7" s="1"/>
  <c r="AA22" i="9" l="1"/>
  <c r="AA25" i="9" s="1"/>
  <c r="I55" i="1"/>
  <c r="H12" i="2"/>
  <c r="Q6" i="7" s="1"/>
  <c r="H10" i="2"/>
  <c r="H13" i="2" s="1"/>
  <c r="Q8" i="7" s="1"/>
  <c r="I21" i="1"/>
  <c r="Q16" i="7" s="1"/>
  <c r="Q18" i="7"/>
  <c r="AA26" i="9" l="1"/>
  <c r="AA28" i="9" s="1"/>
  <c r="AA29" i="9"/>
  <c r="I27" i="1" s="1"/>
  <c r="AA32" i="9"/>
  <c r="AA31" i="9"/>
  <c r="AA30" i="9"/>
  <c r="I28" i="1" s="1"/>
  <c r="AA41" i="9"/>
  <c r="I31" i="1"/>
  <c r="Q21" i="7" s="1"/>
  <c r="AA37" i="9"/>
  <c r="I40" i="1" s="1"/>
  <c r="I46" i="1" s="1"/>
  <c r="Q5" i="7"/>
  <c r="I22" i="1"/>
  <c r="Q17" i="7" s="1"/>
  <c r="AA67" i="9" l="1"/>
  <c r="AA69" i="9" s="1"/>
  <c r="AA64" i="9"/>
  <c r="AA33" i="9"/>
  <c r="AA36" i="9" s="1"/>
  <c r="I39" i="1" s="1"/>
  <c r="I45" i="1" s="1"/>
  <c r="I26" i="1"/>
  <c r="Q19" i="7" s="1"/>
  <c r="AA65" i="9"/>
  <c r="AA38" i="9"/>
  <c r="I29" i="1"/>
  <c r="I30" i="1" s="1"/>
  <c r="Q20" i="7" s="1"/>
  <c r="AA39" i="9"/>
  <c r="AA66" i="9" s="1"/>
  <c r="AA68" i="9" s="1"/>
  <c r="AA46" i="9"/>
  <c r="I44" i="1"/>
  <c r="AA49" i="9"/>
  <c r="AA40" i="9" l="1"/>
  <c r="I43" i="1" s="1"/>
  <c r="Q25" i="7" s="1"/>
  <c r="AA42" i="9"/>
  <c r="AA48" i="9"/>
  <c r="I42" i="1"/>
  <c r="I48" i="1" s="1"/>
  <c r="AA47" i="9"/>
  <c r="I41" i="1"/>
  <c r="I47" i="1" s="1"/>
  <c r="AA71" i="9"/>
  <c r="Q26" i="7"/>
  <c r="I49" i="1"/>
  <c r="Q24" i="7"/>
</calcChain>
</file>

<file path=xl/sharedStrings.xml><?xml version="1.0" encoding="utf-8"?>
<sst xmlns="http://schemas.openxmlformats.org/spreadsheetml/2006/main" count="603" uniqueCount="333">
  <si>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</si>
  <si>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</si>
  <si>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</si>
  <si>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</si>
  <si>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</si>
  <si>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</si>
  <si>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</si>
  <si>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</si>
  <si>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</si>
  <si>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</si>
  <si>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</si>
  <si>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</si>
  <si>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</si>
  <si>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</si>
  <si>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</si>
  <si>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</si>
  <si>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</si>
  <si>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</si>
  <si>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</si>
  <si>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</si>
  <si>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</si>
  <si>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</si>
  <si>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</si>
  <si>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</si>
  <si>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</si>
  <si>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</si>
  <si>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</si>
  <si>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</si>
  <si>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</si>
  <si>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</si>
  <si>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</si>
  <si>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</si>
  <si>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</si>
  <si>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</si>
  <si>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</si>
  <si>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</si>
  <si>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</si>
  <si>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</si>
  <si>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</si>
  <si>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</si>
  <si>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</si>
  <si>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</si>
  <si>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</si>
  <si>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</si>
  <si>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</si>
  <si>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</si>
  <si>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</si>
  <si>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</si>
  <si>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</si>
  <si>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</si>
  <si>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</si>
  <si>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</si>
  <si>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</si>
  <si>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</si>
  <si>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</si>
  <si>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</si>
  <si>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</si>
  <si>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</si>
  <si>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</si>
  <si>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</si>
  <si>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</si>
  <si>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</si>
  <si>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</si>
  <si>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</si>
  <si>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</si>
  <si>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</si>
  <si>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</si>
  <si>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</si>
  <si>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</si>
  <si>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</si>
  <si>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</si>
  <si>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</si>
  <si>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</si>
  <si>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</si>
  <si>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</si>
  <si>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</si>
  <si>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</si>
  <si>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</si>
  <si>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</si>
  <si>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</si>
  <si>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</si>
  <si>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</si>
  <si>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</si>
  <si>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</si>
  <si>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</si>
  <si>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</si>
  <si>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</si>
  <si>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</si>
  <si>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</si>
  <si>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</si>
  <si>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</si>
  <si>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</si>
  <si>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</si>
  <si>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</si>
  <si>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</si>
  <si>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</si>
  <si>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</si>
  <si>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</si>
  <si>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</si>
  <si>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</si>
  <si>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</si>
  <si>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</si>
  <si>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</si>
  <si>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</si>
  <si>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</si>
  <si>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</si>
  <si>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</si>
  <si>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</si>
  <si>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</si>
  <si>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</si>
  <si>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</si>
  <si>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</si>
  <si>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</si>
  <si>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</si>
  <si>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</si>
  <si>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</si>
  <si>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</si>
  <si>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</si>
  <si>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</si>
  <si>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</si>
  <si>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</si>
  <si>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</si>
  <si>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</si>
  <si>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</si>
  <si>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</si>
  <si>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</si>
  <si>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</si>
  <si>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</si>
  <si>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</si>
  <si>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</si>
  <si>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</si>
  <si>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</si>
  <si>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</si>
  <si>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</si>
  <si>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</si>
  <si>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</si>
  <si>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</si>
  <si>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</si>
  <si>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</si>
  <si>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</si>
  <si>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</si>
  <si>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</si>
  <si>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</si>
  <si>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</si>
  <si>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</si>
  <si>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</si>
  <si>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</si>
  <si>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</si>
  <si>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</si>
  <si>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</si>
  <si>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</si>
  <si>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</si>
  <si>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</si>
  <si>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</si>
  <si>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</si>
  <si>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</si>
  <si>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</si>
  <si>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</si>
  <si>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</si>
  <si>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</si>
  <si>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</si>
  <si>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</si>
  <si>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</si>
  <si>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</si>
  <si>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</si>
  <si>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</si>
  <si>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</si>
  <si>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</si>
  <si>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</si>
  <si>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</si>
  <si>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</si>
  <si>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</si>
  <si>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</si>
  <si>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</si>
  <si>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</si>
  <si>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</si>
  <si>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</si>
  <si>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</si>
  <si>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</si>
  <si>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</si>
  <si>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</si>
  <si>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</si>
  <si>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</si>
  <si>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</si>
  <si>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</si>
  <si>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</si>
  <si>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</si>
  <si>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</si>
  <si>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</si>
  <si>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</si>
  <si>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</si>
  <si>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</si>
  <si>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</si>
  <si>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</si>
  <si>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</si>
  <si>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</si>
  <si>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</si>
  <si>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</si>
  <si>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</si>
  <si>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</si>
  <si>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</si>
  <si>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</si>
  <si>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</si>
  <si>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</si>
  <si>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</si>
  <si>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</si>
  <si>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</si>
  <si>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</si>
  <si>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</si>
  <si>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</si>
  <si>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</si>
  <si>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</si>
  <si>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</si>
  <si>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</si>
  <si>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</si>
  <si>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</si>
  <si>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</si>
  <si>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</si>
  <si>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</si>
  <si>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</si>
  <si>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</si>
  <si>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</si>
  <si>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</si>
  <si>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</si>
  <si>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</si>
  <si>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</si>
  <si>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</si>
  <si>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</si>
  <si>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</si>
  <si>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</si>
  <si>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</si>
  <si>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</si>
  <si>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</si>
  <si>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</si>
  <si>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</si>
  <si>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</si>
  <si>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</si>
  <si>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</si>
  <si>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</si>
  <si>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</si>
  <si>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</si>
  <si>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</si>
  <si>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</si>
  <si>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</si>
  <si>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</si>
  <si>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</si>
  <si>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</si>
  <si>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</si>
  <si>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</si>
  <si>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</si>
  <si>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</si>
  <si>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</si>
  <si>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</si>
  <si>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</si>
  <si>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</si>
  <si>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</si>
  <si>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</si>
  <si>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</si>
  <si>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</si>
  <si>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</si>
  <si>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</si>
  <si>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</si>
  <si>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</si>
  <si>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</si>
  <si>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</si>
  <si>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</si>
  <si>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</si>
  <si>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</si>
  <si>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</si>
  <si>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</si>
  <si>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</si>
  <si>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</si>
  <si>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</si>
  <si>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</si>
  <si>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</si>
  <si>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</si>
  <si>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</si>
  <si>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</si>
  <si>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</si>
  <si>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</si>
  <si>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</si>
  <si>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</si>
  <si>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</si>
  <si>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</si>
  <si>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</si>
  <si>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</si>
  <si>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</si>
  <si>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</si>
  <si>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</si>
  <si>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</si>
  <si>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</si>
  <si>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</si>
  <si>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</si>
  <si>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</si>
  <si>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</si>
  <si>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</si>
  <si>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</si>
  <si>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</si>
  <si>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</si>
  <si>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</si>
  <si>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</si>
  <si>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</si>
  <si>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</si>
  <si>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</si>
  <si>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</si>
  <si>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</si>
  <si>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</si>
  <si>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</si>
  <si>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</si>
  <si>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</si>
  <si>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</si>
  <si>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</si>
  <si>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</si>
  <si>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</si>
  <si>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</si>
  <si>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</si>
  <si>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</si>
  <si>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d'obligations à moyen terme</t>
  </si>
  <si>
    <t>Émissions d'obligations à long terme</t>
  </si>
  <si>
    <t>Échéances des obligations à moyen terme</t>
  </si>
  <si>
    <t>Intérêt sur le surplus/(déficit)</t>
  </si>
  <si>
    <t>Interest on surplus/(deficit)</t>
  </si>
  <si>
    <t>Treasury bills expiring</t>
  </si>
  <si>
    <t>Medium-term bonds expiring</t>
  </si>
  <si>
    <t>2030Q3</t>
  </si>
  <si>
    <t>2030Q4</t>
  </si>
  <si>
    <t>2031Q1</t>
  </si>
  <si>
    <t>3 month T-bills supplemental expiring</t>
  </si>
  <si>
    <t>3 months T-bills: stock rebalancing issuance</t>
  </si>
  <si>
    <t>Émissions de bons du Trésor</t>
  </si>
  <si>
    <t>Échéances des bons du Trésor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</si>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</sst>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5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164" fontId="0" fillId="5" borderId="0" xfId="1" applyNumberFormat="1" applyFont="1" applyFill="1"/>
    <xf numFmtId="0" fontId="0" fillId="0" borderId="0" xfId="0" applyAlignment="1">
      <alignment horizontal="left" vertical="top"/>
    </xf>
    <xf numFmtId="0" fontId="0" fillId="0" borderId="0" xfId="0" applyNumberForma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13" borderId="0" xfId="0" applyFont="1" applyFill="1" applyAlignment="1">
      <alignment horizontal="center" vertical="top"/>
    </xf>
    <xf numFmtId="0" fontId="3" fillId="13" borderId="0" xfId="0" applyNumberFormat="1" applyFont="1" applyFill="1" applyAlignment="1">
      <alignment horizontal="center" vertical="top"/>
    </xf>
    <xf numFmtId="0" fontId="0" fillId="0" borderId="0" xfId="0" applyFont="1" applyAlignment="1">
      <alignment horizontal="left" vertical="top"/>
    </xf>
    <xf numFmtId="0" fontId="0" fillId="0" borderId="0" xfId="0" applyNumberFormat="1" applyFont="1" applyAlignment="1">
      <alignment horizontal="left" vertical="top"/>
    </xf>
    <xf numFmtId="0" fontId="0" fillId="14" borderId="0" xfId="0" applyFont="1" applyFill="1" applyAlignment="1">
      <alignment horizontal="left" vertical="top"/>
    </xf>
    <xf numFmtId="0" fontId="0" fillId="14" borderId="0" xfId="0" applyNumberFormat="1" applyFont="1" applyFill="1" applyAlignment="1">
      <alignment horizontal="left" vertical="top"/>
    </xf>
    <xf numFmtId="0" fontId="0" fillId="15" borderId="0" xfId="0" applyFont="1" applyFill="1" applyAlignment="1">
      <alignment horizontal="left" vertical="top"/>
    </xf>
    <xf numFmtId="0" fontId="0" fillId="15" borderId="0" xfId="0" applyNumberFormat="1" applyFont="1" applyFill="1" applyAlignment="1">
      <alignment horizontal="left" vertical="top"/>
    </xf>
    <xf numFmtId="2" fontId="0" fillId="15" borderId="0" xfId="0" applyNumberFormat="1" applyFont="1" applyFill="1" applyAlignment="1">
      <alignment horizontal="left" vertical="top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64" t="s">
        <v>176</v>
      </c>
      <c r="B1" s="64" t="s">
        <v>178</v>
      </c>
      <c r="C1" s="64" t="s">
        <v>177</v>
      </c>
    </row>
    <row r="2" spans="1:3" ht="30" x14ac:dyDescent="0.25">
      <c r="A2" s="64" t="s">
        <v>143</v>
      </c>
      <c r="B2" s="65" t="b">
        <v>1</v>
      </c>
      <c r="C2" s="15" t="s">
        <v>180</v>
      </c>
    </row>
    <row r="3" spans="1:3" x14ac:dyDescent="0.25">
      <c r="A3" s="64" t="s">
        <v>133</v>
      </c>
      <c r="B3" s="65" t="b">
        <v>1</v>
      </c>
      <c r="C3" s="15" t="s">
        <v>174</v>
      </c>
    </row>
    <row r="4" spans="1:3" x14ac:dyDescent="0.25">
      <c r="A4" s="64" t="s">
        <v>136</v>
      </c>
      <c r="B4" s="65" t="b">
        <v>1</v>
      </c>
      <c r="C4" s="15" t="s">
        <v>175</v>
      </c>
    </row>
    <row r="5" spans="1:3" x14ac:dyDescent="0.25">
      <c r="A5" s="64" t="s">
        <v>137</v>
      </c>
      <c r="B5" s="65" t="b">
        <v>1</v>
      </c>
      <c r="C5" s="15" t="s">
        <v>179</v>
      </c>
    </row>
    <row r="6" spans="1:3" x14ac:dyDescent="0.25">
      <c r="A6" s="64" t="s">
        <v>134</v>
      </c>
      <c r="B6" s="65" t="s">
        <v>181</v>
      </c>
      <c r="C6" s="15" t="s">
        <v>182</v>
      </c>
    </row>
    <row r="7" spans="1:3" x14ac:dyDescent="0.25">
      <c r="A7" s="64" t="s">
        <v>135</v>
      </c>
      <c r="B7" s="65"/>
      <c r="C7" s="15" t="s">
        <v>182</v>
      </c>
    </row>
    <row r="8" spans="1:3" x14ac:dyDescent="0.25">
      <c r="A8" s="64" t="s">
        <v>138</v>
      </c>
      <c r="B8" s="65"/>
      <c r="C8" s="15" t="s">
        <v>183</v>
      </c>
    </row>
    <row r="9" spans="1:3" x14ac:dyDescent="0.25">
      <c r="A9" s="64" t="s">
        <v>139</v>
      </c>
      <c r="B9" s="65"/>
      <c r="C9" s="15" t="s">
        <v>183</v>
      </c>
    </row>
    <row r="10" spans="1:3" x14ac:dyDescent="0.25">
      <c r="A10" s="64" t="s">
        <v>140</v>
      </c>
      <c r="B10" s="65"/>
      <c r="C10" s="15" t="s">
        <v>184</v>
      </c>
    </row>
    <row r="11" spans="1:3" x14ac:dyDescent="0.25">
      <c r="A11" s="64" t="s">
        <v>141</v>
      </c>
      <c r="B11" s="65"/>
      <c r="C11" s="15" t="s">
        <v>184</v>
      </c>
    </row>
    <row r="12" spans="1:3" x14ac:dyDescent="0.25">
      <c r="A12" s="64" t="s">
        <v>157</v>
      </c>
      <c r="B12" s="65"/>
      <c r="C12" s="15" t="s">
        <v>185</v>
      </c>
    </row>
    <row r="13" spans="1:3" x14ac:dyDescent="0.25">
      <c r="A13" s="64" t="s">
        <v>145</v>
      </c>
      <c r="B13" s="65"/>
      <c r="C13" s="15" t="s">
        <v>186</v>
      </c>
    </row>
    <row r="14" spans="1:3" x14ac:dyDescent="0.25">
      <c r="A14" s="64" t="s">
        <v>187</v>
      </c>
      <c r="B14" s="65"/>
      <c r="C14" s="15" t="s">
        <v>188</v>
      </c>
    </row>
    <row r="17" spans="3:3" x14ac:dyDescent="0.25">
      <c r="C17" t="s">
        <v>193</v>
      </c>
    </row>
    <row r="18" spans="3:3" x14ac:dyDescent="0.25">
      <c r="C18" t="s">
        <v>189</v>
      </c>
    </row>
    <row r="19" spans="3:3" x14ac:dyDescent="0.25">
      <c r="C19" t="s">
        <v>190</v>
      </c>
    </row>
    <row r="20" spans="3:3" x14ac:dyDescent="0.25">
      <c r="C20" t="s">
        <v>191</v>
      </c>
    </row>
    <row r="21" spans="3:3" x14ac:dyDescent="0.2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3"/>
  <sheetViews>
    <sheetView tabSelected="1" zoomScale="130" zoomScaleNormal="130" workbookViewId="0">
      <pane xSplit="1" topLeftCell="G1" activePane="topRight" state="frozen"/>
      <selection pane="topRight" activeCell="M4" sqref="M4"/>
    </sheetView>
  </sheetViews>
  <sheetFormatPr defaultRowHeight="15" x14ac:dyDescent="0.25"/>
  <cols>
    <col min="1" max="1" width="44.5703125" style="133" bestFit="1" customWidth="1"/>
    <col min="2" max="2" width="8.85546875" style="133" bestFit="1" customWidth="1"/>
    <col min="3" max="3" width="31.5703125" style="135" bestFit="1" customWidth="1"/>
    <col min="4" max="4" width="45.140625" style="135" bestFit="1" customWidth="1"/>
    <col min="5" max="5" width="23.85546875" style="133" bestFit="1" customWidth="1"/>
    <col min="6" max="6" width="33.140625" style="133" bestFit="1" customWidth="1"/>
    <col min="7" max="7" width="15.140625" style="133" bestFit="1" customWidth="1"/>
    <col min="8" max="8" width="14.140625" style="133" bestFit="1" customWidth="1"/>
    <col min="9" max="10" width="24.7109375" style="133" customWidth="1"/>
    <col min="11" max="12" width="8.85546875" style="133" bestFit="1" customWidth="1"/>
    <col min="13" max="16" width="12.85546875" style="134" bestFit="1" customWidth="1"/>
    <col min="17" max="17" width="12.85546875" style="133" bestFit="1" customWidth="1"/>
    <col min="18" max="16384" width="9.140625" style="65"/>
  </cols>
  <sheetData>
    <row r="1" spans="1:17" x14ac:dyDescent="0.25">
      <c r="A1" s="136" t="s">
        <v>143</v>
      </c>
      <c r="B1" s="136" t="s">
        <v>133</v>
      </c>
      <c r="C1" s="136" t="s">
        <v>136</v>
      </c>
      <c r="D1" s="136" t="s">
        <v>137</v>
      </c>
      <c r="E1" s="136" t="s">
        <v>134</v>
      </c>
      <c r="F1" s="136" t="s">
        <v>135</v>
      </c>
      <c r="G1" s="136" t="s">
        <v>138</v>
      </c>
      <c r="H1" s="136" t="s">
        <v>139</v>
      </c>
      <c r="I1" s="136" t="s">
        <v>140</v>
      </c>
      <c r="J1" s="136" t="s">
        <v>141</v>
      </c>
      <c r="K1" s="136" t="s">
        <v>157</v>
      </c>
      <c r="L1" s="136" t="s">
        <v>145</v>
      </c>
      <c r="M1" s="137" t="s">
        <v>142</v>
      </c>
      <c r="N1" s="137" t="s">
        <v>151</v>
      </c>
      <c r="O1" s="137" t="s">
        <v>152</v>
      </c>
      <c r="P1" s="137" t="s">
        <v>331</v>
      </c>
      <c r="Q1" s="137" t="s">
        <v>332</v>
      </c>
    </row>
    <row r="2" spans="1:17" x14ac:dyDescent="0.25">
      <c r="A2" s="138" t="s">
        <v>147</v>
      </c>
      <c r="B2" s="138" t="s">
        <v>144</v>
      </c>
      <c r="C2" s="138" t="s">
        <v>1</v>
      </c>
      <c r="D2" s="138" t="s">
        <v>146</v>
      </c>
      <c r="E2" s="138"/>
      <c r="F2" s="138"/>
      <c r="G2" s="138"/>
      <c r="H2" s="138"/>
      <c r="I2" s="138"/>
      <c r="J2" s="138"/>
      <c r="K2" s="138"/>
      <c r="L2" s="138" t="s">
        <v>149</v>
      </c>
      <c r="M2" s="139">
        <v>5</v>
      </c>
      <c r="N2" s="139">
        <v>0</v>
      </c>
      <c r="O2" s="139">
        <v>0</v>
      </c>
      <c r="P2" s="139">
        <v>0</v>
      </c>
      <c r="Q2" s="139">
        <v>0</v>
      </c>
    </row>
    <row r="3" spans="1:17" x14ac:dyDescent="0.25">
      <c r="A3" s="138" t="s">
        <v>150</v>
      </c>
      <c r="B3" s="138" t="s">
        <v>144</v>
      </c>
      <c r="C3" s="138" t="s">
        <v>2</v>
      </c>
      <c r="D3" s="138" t="s">
        <v>148</v>
      </c>
      <c r="E3" s="138"/>
      <c r="F3" s="138"/>
      <c r="G3" s="138"/>
      <c r="H3" s="138"/>
      <c r="I3" s="138"/>
      <c r="J3" s="138"/>
      <c r="K3" s="138"/>
      <c r="L3" s="138" t="s">
        <v>149</v>
      </c>
      <c r="M3" s="139">
        <v>7</v>
      </c>
      <c r="N3" s="139">
        <v>0</v>
      </c>
      <c r="O3" s="139">
        <v>0</v>
      </c>
      <c r="P3" s="139">
        <v>0</v>
      </c>
      <c r="Q3" s="139">
        <v>0</v>
      </c>
    </row>
    <row r="4" spans="1:17" x14ac:dyDescent="0.25">
      <c r="A4" s="140" t="s">
        <v>3</v>
      </c>
      <c r="B4" s="140" t="s">
        <v>153</v>
      </c>
      <c r="C4" s="140" t="s">
        <v>3</v>
      </c>
      <c r="D4" s="140" t="s">
        <v>194</v>
      </c>
      <c r="E4" s="140"/>
      <c r="F4" s="140"/>
      <c r="G4" s="140"/>
      <c r="H4" s="140"/>
      <c r="I4" s="140"/>
      <c r="J4" s="140"/>
      <c r="K4" s="140"/>
      <c r="L4" s="140" t="s">
        <v>149</v>
      </c>
      <c r="M4" s="141">
        <f>'For user (EN)'!D6</f>
        <v>-2</v>
      </c>
      <c r="N4" s="141">
        <f>'For user (EN)'!E6</f>
        <v>0</v>
      </c>
      <c r="O4" s="141">
        <f>'For user (EN)'!F6</f>
        <v>0</v>
      </c>
      <c r="P4" s="141">
        <f>'For user (EN)'!G6</f>
        <v>0</v>
      </c>
      <c r="Q4" s="141">
        <f>'For user (EN)'!H6</f>
        <v>0</v>
      </c>
    </row>
    <row r="5" spans="1:17" x14ac:dyDescent="0.25">
      <c r="A5" s="140" t="s">
        <v>53</v>
      </c>
      <c r="B5" s="140" t="s">
        <v>153</v>
      </c>
      <c r="C5" s="140" t="s">
        <v>53</v>
      </c>
      <c r="D5" s="140" t="s">
        <v>154</v>
      </c>
      <c r="E5" s="140"/>
      <c r="F5" s="140"/>
      <c r="G5" s="140"/>
      <c r="H5" s="140"/>
      <c r="I5" s="140"/>
      <c r="J5" s="140"/>
      <c r="K5" s="140"/>
      <c r="L5" s="140" t="s">
        <v>149</v>
      </c>
      <c r="M5" s="141">
        <f>'For user (EN)'!D10</f>
        <v>-3.3978037772711606E-2</v>
      </c>
      <c r="N5" s="141">
        <f>'For user (EN)'!E10</f>
        <v>-6.1328723683919242E-2</v>
      </c>
      <c r="O5" s="141">
        <f>'For user (EN)'!F10</f>
        <v>-6.6055039838965782E-2</v>
      </c>
      <c r="P5" s="141">
        <f>'For user (EN)'!G10</f>
        <v>-7.1378498227372841E-2</v>
      </c>
      <c r="Q5" s="141">
        <f>'For user (EN)'!H10</f>
        <v>-7.4579137394605366E-2</v>
      </c>
    </row>
    <row r="6" spans="1:17" x14ac:dyDescent="0.25">
      <c r="A6" s="140" t="s">
        <v>167</v>
      </c>
      <c r="B6" s="140" t="s">
        <v>153</v>
      </c>
      <c r="C6" s="140" t="s">
        <v>202</v>
      </c>
      <c r="D6" s="140" t="s">
        <v>158</v>
      </c>
      <c r="E6" s="140"/>
      <c r="F6" s="140"/>
      <c r="G6" s="140"/>
      <c r="H6" s="140"/>
      <c r="I6" s="140" t="s">
        <v>160</v>
      </c>
      <c r="J6" s="140" t="s">
        <v>159</v>
      </c>
      <c r="K6" s="140"/>
      <c r="L6" s="140" t="s">
        <v>149</v>
      </c>
      <c r="M6" s="141">
        <f>'For user (EN)'!D12</f>
        <v>-2.0339780377727115</v>
      </c>
      <c r="N6" s="141">
        <f>'For user (EN)'!E12</f>
        <v>-6.1328723683919242E-2</v>
      </c>
      <c r="O6" s="141">
        <f>'For user (EN)'!F12</f>
        <v>-6.6055039838965782E-2</v>
      </c>
      <c r="P6" s="141">
        <f>'For user (EN)'!G12</f>
        <v>-7.1378498227372841E-2</v>
      </c>
      <c r="Q6" s="141">
        <f>'For user (EN)'!H12</f>
        <v>-7.4579137394605366E-2</v>
      </c>
    </row>
    <row r="7" spans="1:17" x14ac:dyDescent="0.25">
      <c r="A7" s="140" t="s">
        <v>8</v>
      </c>
      <c r="B7" s="140" t="s">
        <v>153</v>
      </c>
      <c r="C7" s="140" t="s">
        <v>155</v>
      </c>
      <c r="D7" s="140" t="s">
        <v>156</v>
      </c>
      <c r="E7" s="140"/>
      <c r="F7" s="140"/>
      <c r="G7" s="140"/>
      <c r="H7" s="140"/>
      <c r="I7" s="140"/>
      <c r="J7" s="140"/>
      <c r="K7" s="140"/>
      <c r="L7" s="140" t="s">
        <v>149</v>
      </c>
      <c r="M7" s="141">
        <f>'For user (EN)'!D11</f>
        <v>-2.0339780377727115</v>
      </c>
      <c r="N7" s="141">
        <f>'For user (EN)'!E11</f>
        <v>-2.0953067614566305</v>
      </c>
      <c r="O7" s="141">
        <f>'For user (EN)'!F11</f>
        <v>-2.1613618012955964</v>
      </c>
      <c r="P7" s="141">
        <f>'For user (EN)'!G11</f>
        <v>-2.2327402995229697</v>
      </c>
      <c r="Q7" s="141">
        <f>'For user (EN)'!H11</f>
        <v>-2.3073194369175751</v>
      </c>
    </row>
    <row r="8" spans="1:17" x14ac:dyDescent="0.25">
      <c r="A8" s="140" t="s">
        <v>52</v>
      </c>
      <c r="B8" s="140" t="s">
        <v>153</v>
      </c>
      <c r="C8" s="140" t="s">
        <v>52</v>
      </c>
      <c r="D8" s="140" t="s">
        <v>161</v>
      </c>
      <c r="E8" s="140"/>
      <c r="F8" s="140"/>
      <c r="G8" s="140"/>
      <c r="H8" s="140"/>
      <c r="I8" s="140"/>
      <c r="J8" s="140"/>
      <c r="K8" s="140"/>
      <c r="L8" s="140" t="s">
        <v>149</v>
      </c>
      <c r="M8" s="141">
        <f>'For user (EN)'!D13</f>
        <v>-3.3978037772711606E-2</v>
      </c>
      <c r="N8" s="141">
        <f>'For user (EN)'!E13</f>
        <v>-9.5306761456630848E-2</v>
      </c>
      <c r="O8" s="141">
        <f>'For user (EN)'!F13</f>
        <v>-0.16136180129559663</v>
      </c>
      <c r="P8" s="141">
        <f>'For user (EN)'!G13</f>
        <v>-0.23274029952296948</v>
      </c>
      <c r="Q8" s="141">
        <f>'For user (EN)'!H13</f>
        <v>-0.30731943691757485</v>
      </c>
    </row>
    <row r="9" spans="1:17" x14ac:dyDescent="0.25">
      <c r="A9" s="142" t="s">
        <v>45</v>
      </c>
      <c r="B9" s="142" t="s">
        <v>162</v>
      </c>
      <c r="C9" s="142" t="s">
        <v>45</v>
      </c>
      <c r="D9" s="142" t="s">
        <v>163</v>
      </c>
      <c r="E9" s="142" t="s">
        <v>165</v>
      </c>
      <c r="F9" s="142" t="s">
        <v>164</v>
      </c>
      <c r="G9" s="142"/>
      <c r="H9" s="142"/>
      <c r="I9" s="142"/>
      <c r="J9" s="142"/>
      <c r="K9" s="142" t="b">
        <v>1</v>
      </c>
      <c r="L9" s="142"/>
      <c r="M9" s="143">
        <f>Model!E10</f>
        <v>2.2000000000000002</v>
      </c>
      <c r="N9" s="143">
        <f>Model!F10</f>
        <v>2.5750000000000002</v>
      </c>
      <c r="O9" s="143">
        <f>Model!G10</f>
        <v>2.7</v>
      </c>
      <c r="P9" s="143">
        <f>Model!H10</f>
        <v>2.7</v>
      </c>
      <c r="Q9" s="143">
        <f>Model!I10</f>
        <v>2.7</v>
      </c>
    </row>
    <row r="10" spans="1:17" x14ac:dyDescent="0.25">
      <c r="A10" s="142" t="s">
        <v>288</v>
      </c>
      <c r="B10" s="142" t="s">
        <v>162</v>
      </c>
      <c r="C10" s="142" t="s">
        <v>288</v>
      </c>
      <c r="D10" s="142" t="s">
        <v>291</v>
      </c>
      <c r="E10" s="142" t="s">
        <v>165</v>
      </c>
      <c r="F10" s="142" t="s">
        <v>164</v>
      </c>
      <c r="G10" s="142"/>
      <c r="H10" s="142"/>
      <c r="I10" s="142"/>
      <c r="J10" s="142"/>
      <c r="K10" s="142" t="b">
        <v>1</v>
      </c>
      <c r="L10" s="142"/>
      <c r="M10" s="144">
        <f>Model!E13</f>
        <v>2.4880752449431824</v>
      </c>
      <c r="N10" s="144">
        <f>Model!F13</f>
        <v>2.7674466657475927</v>
      </c>
      <c r="O10" s="144">
        <f>Model!G13</f>
        <v>2.82</v>
      </c>
      <c r="P10" s="144">
        <f>Model!H13</f>
        <v>2.82</v>
      </c>
      <c r="Q10" s="144">
        <f>Model!I13</f>
        <v>2.82</v>
      </c>
    </row>
    <row r="11" spans="1:17" x14ac:dyDescent="0.25">
      <c r="A11" s="142" t="s">
        <v>289</v>
      </c>
      <c r="B11" s="142" t="s">
        <v>162</v>
      </c>
      <c r="C11" s="142" t="s">
        <v>289</v>
      </c>
      <c r="D11" s="142" t="s">
        <v>292</v>
      </c>
      <c r="E11" s="142" t="s">
        <v>165</v>
      </c>
      <c r="F11" s="142" t="s">
        <v>164</v>
      </c>
      <c r="G11" s="142"/>
      <c r="H11" s="142"/>
      <c r="I11" s="142"/>
      <c r="J11" s="142"/>
      <c r="K11" s="142" t="b">
        <v>1</v>
      </c>
      <c r="L11" s="142"/>
      <c r="M11" s="144">
        <f>Model!E14</f>
        <v>2.5634453699431825</v>
      </c>
      <c r="N11" s="144">
        <f>Model!F14</f>
        <v>2.8226651007475927</v>
      </c>
      <c r="O11" s="144">
        <f>Model!G14</f>
        <v>2.8679999999999999</v>
      </c>
      <c r="P11" s="144">
        <f>Model!H14</f>
        <v>2.8679999999999999</v>
      </c>
      <c r="Q11" s="144">
        <f>Model!I14</f>
        <v>2.8679999999999999</v>
      </c>
    </row>
    <row r="12" spans="1:17" x14ac:dyDescent="0.25">
      <c r="A12" s="142" t="s">
        <v>290</v>
      </c>
      <c r="B12" s="142" t="s">
        <v>162</v>
      </c>
      <c r="C12" s="142" t="s">
        <v>290</v>
      </c>
      <c r="D12" s="142" t="s">
        <v>293</v>
      </c>
      <c r="E12" s="142" t="s">
        <v>165</v>
      </c>
      <c r="F12" s="142" t="s">
        <v>164</v>
      </c>
      <c r="G12" s="142"/>
      <c r="H12" s="142"/>
      <c r="I12" s="142"/>
      <c r="J12" s="142"/>
      <c r="K12" s="142" t="b">
        <v>1</v>
      </c>
      <c r="L12" s="142"/>
      <c r="M12" s="144">
        <f>Model!E15</f>
        <v>2.764432369943183</v>
      </c>
      <c r="N12" s="144">
        <f>Model!F15</f>
        <v>2.9699142607475926</v>
      </c>
      <c r="O12" s="144">
        <f>Model!G15</f>
        <v>2.996</v>
      </c>
      <c r="P12" s="144">
        <f>Model!H15</f>
        <v>2.996</v>
      </c>
      <c r="Q12" s="144">
        <f>Model!I15</f>
        <v>2.996</v>
      </c>
    </row>
    <row r="13" spans="1:17" x14ac:dyDescent="0.25">
      <c r="A13" s="142" t="s">
        <v>195</v>
      </c>
      <c r="B13" s="142" t="s">
        <v>162</v>
      </c>
      <c r="C13" s="142" t="s">
        <v>195</v>
      </c>
      <c r="D13" s="142" t="s">
        <v>196</v>
      </c>
      <c r="E13" s="142" t="s">
        <v>165</v>
      </c>
      <c r="F13" s="142" t="s">
        <v>164</v>
      </c>
      <c r="G13" s="142"/>
      <c r="H13" s="142"/>
      <c r="I13" s="142"/>
      <c r="J13" s="142"/>
      <c r="K13" s="142" t="b">
        <v>1</v>
      </c>
      <c r="L13" s="142"/>
      <c r="M13" s="144">
        <f>'Fiscal Model Import'!G14</f>
        <v>3.4561687500000002</v>
      </c>
      <c r="N13" s="144">
        <f>'Fiscal Model Import'!H14</f>
        <v>3.4953072499999998</v>
      </c>
      <c r="O13" s="144">
        <f>'Fiscal Model Import'!I14</f>
        <v>3.5</v>
      </c>
      <c r="P13" s="144">
        <f>'Fiscal Model Import'!J14</f>
        <v>3.5</v>
      </c>
      <c r="Q13" s="144">
        <f>'Fiscal Model Import'!K14</f>
        <v>3.5</v>
      </c>
    </row>
    <row r="14" spans="1:17" x14ac:dyDescent="0.25">
      <c r="A14" s="142" t="s">
        <v>46</v>
      </c>
      <c r="B14" s="142" t="s">
        <v>162</v>
      </c>
      <c r="C14" s="142" t="s">
        <v>166</v>
      </c>
      <c r="D14" s="142" t="s">
        <v>168</v>
      </c>
      <c r="E14" s="142" t="s">
        <v>165</v>
      </c>
      <c r="F14" s="142" t="s">
        <v>164</v>
      </c>
      <c r="G14" s="142"/>
      <c r="H14" s="142"/>
      <c r="I14" s="142"/>
      <c r="J14" s="142"/>
      <c r="K14" s="142" t="b">
        <v>1</v>
      </c>
      <c r="L14" s="142"/>
      <c r="M14" s="143">
        <f>Model!E12</f>
        <v>3.8076797499999997</v>
      </c>
      <c r="N14" s="143">
        <f>Model!F12</f>
        <v>3.7604842500000002</v>
      </c>
      <c r="O14" s="143">
        <f>Model!G12</f>
        <v>3.75</v>
      </c>
      <c r="P14" s="143">
        <f>Model!H12</f>
        <v>3.75</v>
      </c>
      <c r="Q14" s="143">
        <f>Model!I12</f>
        <v>3.75</v>
      </c>
    </row>
    <row r="15" spans="1:17" x14ac:dyDescent="0.25">
      <c r="A15" s="142" t="s">
        <v>51</v>
      </c>
      <c r="B15" s="142" t="s">
        <v>162</v>
      </c>
      <c r="C15" s="142" t="s">
        <v>169</v>
      </c>
      <c r="D15" s="142" t="s">
        <v>170</v>
      </c>
      <c r="E15" s="142" t="s">
        <v>165</v>
      </c>
      <c r="F15" s="142" t="s">
        <v>164</v>
      </c>
      <c r="G15" s="142"/>
      <c r="H15" s="142"/>
      <c r="I15" s="142"/>
      <c r="J15" s="142"/>
      <c r="K15" s="142" t="b">
        <v>1</v>
      </c>
      <c r="L15" s="142"/>
      <c r="M15" s="143">
        <f>Model!E17</f>
        <v>2.6580713627470329</v>
      </c>
      <c r="N15" s="143">
        <f>Model!F17</f>
        <v>2.8980501102243621</v>
      </c>
      <c r="O15" s="143">
        <f>Model!G17</f>
        <v>2.9683548806065292</v>
      </c>
      <c r="P15" s="143">
        <f>Model!H17</f>
        <v>2.9683548806065292</v>
      </c>
      <c r="Q15" s="143">
        <f>Model!I17</f>
        <v>2.9683548806065292</v>
      </c>
    </row>
    <row r="16" spans="1:17" x14ac:dyDescent="0.25">
      <c r="A16" s="142" t="s">
        <v>233</v>
      </c>
      <c r="B16" s="142" t="s">
        <v>162</v>
      </c>
      <c r="C16" s="142" t="s">
        <v>321</v>
      </c>
      <c r="D16" s="142" t="s">
        <v>320</v>
      </c>
      <c r="E16" s="142" t="s">
        <v>172</v>
      </c>
      <c r="F16" s="142" t="s">
        <v>171</v>
      </c>
      <c r="G16" s="142"/>
      <c r="H16" s="142"/>
      <c r="I16" s="142"/>
      <c r="J16" s="142"/>
      <c r="K16" s="142"/>
      <c r="L16" s="142"/>
      <c r="M16" s="143">
        <f>SUM(Model!E20,Model!E21)</f>
        <v>-3.3978037772711606E-2</v>
      </c>
      <c r="N16" s="143">
        <f>SUM(Model!F20,Model!F21)</f>
        <v>-6.1328723683919242E-2</v>
      </c>
      <c r="O16" s="143">
        <f>SUM(Model!G20,Model!G21)</f>
        <v>-6.6055039838965782E-2</v>
      </c>
      <c r="P16" s="143">
        <f>SUM(Model!H20,Model!H21)</f>
        <v>-7.1378498227372841E-2</v>
      </c>
      <c r="Q16" s="143">
        <f>SUM(Model!I20,Model!I21)</f>
        <v>-7.4579137394605366E-2</v>
      </c>
    </row>
    <row r="17" spans="1:17" x14ac:dyDescent="0.25">
      <c r="A17" s="142" t="s">
        <v>220</v>
      </c>
      <c r="B17" s="142" t="s">
        <v>162</v>
      </c>
      <c r="C17" s="142" t="s">
        <v>220</v>
      </c>
      <c r="D17" s="142" t="s">
        <v>245</v>
      </c>
      <c r="E17" s="142" t="s">
        <v>172</v>
      </c>
      <c r="F17" s="142" t="s">
        <v>171</v>
      </c>
      <c r="G17" s="142"/>
      <c r="H17" s="142"/>
      <c r="I17" s="142"/>
      <c r="J17" s="142"/>
      <c r="K17" s="142"/>
      <c r="L17" s="142"/>
      <c r="M17" s="143">
        <f>Model!E22</f>
        <v>2.0339780377727115</v>
      </c>
      <c r="N17" s="143">
        <f>Model!F22</f>
        <v>6.1328723683919242E-2</v>
      </c>
      <c r="O17" s="143">
        <f>Model!G22</f>
        <v>6.6055039838965782E-2</v>
      </c>
      <c r="P17" s="143">
        <f>Model!H22</f>
        <v>7.1378498227372841E-2</v>
      </c>
      <c r="Q17" s="143">
        <f>Model!I22</f>
        <v>7.4579137394605366E-2</v>
      </c>
    </row>
    <row r="18" spans="1:17" x14ac:dyDescent="0.25">
      <c r="A18" s="142" t="s">
        <v>236</v>
      </c>
      <c r="B18" s="142" t="s">
        <v>162</v>
      </c>
      <c r="C18" s="142" t="s">
        <v>236</v>
      </c>
      <c r="D18" s="142" t="s">
        <v>173</v>
      </c>
      <c r="E18" s="142" t="s">
        <v>172</v>
      </c>
      <c r="F18" s="142" t="s">
        <v>171</v>
      </c>
      <c r="G18" s="142"/>
      <c r="H18" s="142"/>
      <c r="I18" s="142"/>
      <c r="J18" s="142"/>
      <c r="K18" s="142"/>
      <c r="L18" s="142"/>
      <c r="M18" s="143">
        <f>Model!E23</f>
        <v>2.0339780377727115</v>
      </c>
      <c r="N18" s="143">
        <f>Model!F23</f>
        <v>2.0953067614566305</v>
      </c>
      <c r="O18" s="143">
        <f>Model!G23</f>
        <v>2.1613618012955964</v>
      </c>
      <c r="P18" s="143">
        <f>Model!H23</f>
        <v>2.2327402995229697</v>
      </c>
      <c r="Q18" s="143">
        <f>Model!I23</f>
        <v>2.3073194369175751</v>
      </c>
    </row>
    <row r="19" spans="1:17" x14ac:dyDescent="0.25">
      <c r="A19" s="142" t="s">
        <v>295</v>
      </c>
      <c r="B19" s="142" t="s">
        <v>162</v>
      </c>
      <c r="C19" s="142" t="s">
        <v>295</v>
      </c>
      <c r="D19" s="142" t="s">
        <v>329</v>
      </c>
      <c r="E19" s="142" t="s">
        <v>197</v>
      </c>
      <c r="F19" s="142" t="s">
        <v>198</v>
      </c>
      <c r="G19" s="142"/>
      <c r="H19" s="142"/>
      <c r="I19" s="142"/>
      <c r="J19" s="142"/>
      <c r="K19" s="142"/>
      <c r="L19" s="142"/>
      <c r="M19" s="143">
        <f>Model!E26</f>
        <v>1.4398557463721731</v>
      </c>
      <c r="N19" s="143">
        <f>Model!F26</f>
        <v>0.41844898803557318</v>
      </c>
      <c r="O19" s="143">
        <f>Model!G26</f>
        <v>0.48976129278252556</v>
      </c>
      <c r="P19" s="143">
        <f>Model!H26</f>
        <v>0.32847000389564784</v>
      </c>
      <c r="Q19" s="143">
        <f>Model!I26</f>
        <v>0.23007849020128884</v>
      </c>
    </row>
    <row r="20" spans="1:17" x14ac:dyDescent="0.25">
      <c r="A20" s="142" t="s">
        <v>296</v>
      </c>
      <c r="B20" s="142" t="s">
        <v>162</v>
      </c>
      <c r="C20" s="142" t="s">
        <v>296</v>
      </c>
      <c r="D20" s="142" t="s">
        <v>317</v>
      </c>
      <c r="E20" s="142" t="s">
        <v>197</v>
      </c>
      <c r="F20" s="142" t="s">
        <v>198</v>
      </c>
      <c r="G20" s="142"/>
      <c r="H20" s="142"/>
      <c r="I20" s="142"/>
      <c r="J20" s="142"/>
      <c r="K20" s="142"/>
      <c r="L20" s="142"/>
      <c r="M20" s="143">
        <f>Model!E30</f>
        <v>1.0270299729367947</v>
      </c>
      <c r="N20" s="143">
        <f>Model!F30</f>
        <v>0.29847410335404517</v>
      </c>
      <c r="O20" s="143">
        <f>Model!G30</f>
        <v>0.34934022282389932</v>
      </c>
      <c r="P20" s="143">
        <f>Model!H30</f>
        <v>0.23429328949200054</v>
      </c>
      <c r="Q20" s="143">
        <f>Model!I30</f>
        <v>0.16411193007364655</v>
      </c>
    </row>
    <row r="21" spans="1:17" x14ac:dyDescent="0.25">
      <c r="A21" s="142" t="s">
        <v>316</v>
      </c>
      <c r="B21" s="142" t="s">
        <v>162</v>
      </c>
      <c r="C21" s="142" t="s">
        <v>316</v>
      </c>
      <c r="D21" s="142" t="s">
        <v>318</v>
      </c>
      <c r="E21" s="142" t="s">
        <v>197</v>
      </c>
      <c r="F21" s="142" t="s">
        <v>198</v>
      </c>
      <c r="G21" s="142"/>
      <c r="H21" s="142"/>
      <c r="I21" s="142"/>
      <c r="J21" s="142"/>
      <c r="K21" s="142"/>
      <c r="L21" s="142"/>
      <c r="M21" s="143">
        <f>Model!E31</f>
        <v>0.56889405363655787</v>
      </c>
      <c r="N21" s="143">
        <f>Model!F31</f>
        <v>0.16533124352454465</v>
      </c>
      <c r="O21" s="143">
        <f>Model!G31</f>
        <v>0.19350708421127755</v>
      </c>
      <c r="P21" s="143">
        <f>Model!H31</f>
        <v>0.12978010643429441</v>
      </c>
      <c r="Q21" s="143">
        <f>Model!I31</f>
        <v>9.0905137736872837E-2</v>
      </c>
    </row>
    <row r="22" spans="1:17" x14ac:dyDescent="0.25">
      <c r="A22" s="142" t="s">
        <v>322</v>
      </c>
      <c r="B22" s="142" t="s">
        <v>162</v>
      </c>
      <c r="C22" s="142" t="s">
        <v>322</v>
      </c>
      <c r="D22" s="142" t="s">
        <v>330</v>
      </c>
      <c r="E22" s="142" t="s">
        <v>197</v>
      </c>
      <c r="F22" s="142" t="s">
        <v>198</v>
      </c>
      <c r="G22" s="142"/>
      <c r="H22" s="142"/>
      <c r="I22" s="142"/>
      <c r="J22" s="142"/>
      <c r="K22" s="142"/>
      <c r="L22" s="142"/>
      <c r="M22" s="143">
        <f>Model!E33</f>
        <v>1.0018017351728141</v>
      </c>
      <c r="N22" s="143">
        <f>Model!F33</f>
        <v>0.82092561123024388</v>
      </c>
      <c r="O22" s="143">
        <f>Model!G33</f>
        <v>0.36241828178062219</v>
      </c>
      <c r="P22" s="143">
        <f>Model!H33</f>
        <v>0.44559189962160228</v>
      </c>
      <c r="Q22" s="143">
        <f>Model!I33</f>
        <v>0.20502217189726213</v>
      </c>
    </row>
    <row r="23" spans="1:17" x14ac:dyDescent="0.25">
      <c r="A23" s="142" t="s">
        <v>323</v>
      </c>
      <c r="B23" s="142" t="s">
        <v>162</v>
      </c>
      <c r="C23" s="142" t="s">
        <v>323</v>
      </c>
      <c r="D23" s="142" t="s">
        <v>319</v>
      </c>
      <c r="E23" s="142" t="s">
        <v>197</v>
      </c>
      <c r="F23" s="142" t="s">
        <v>198</v>
      </c>
      <c r="G23" s="142"/>
      <c r="H23" s="142"/>
      <c r="I23" s="142"/>
      <c r="J23" s="142"/>
      <c r="K23" s="142"/>
      <c r="L23" s="142"/>
      <c r="M23" s="143">
        <f>Model!E37</f>
        <v>0</v>
      </c>
      <c r="N23" s="143">
        <f>Model!F37</f>
        <v>0</v>
      </c>
      <c r="O23" s="143">
        <f>Model!G37</f>
        <v>0.60413527819811452</v>
      </c>
      <c r="P23" s="143">
        <f>Model!H37</f>
        <v>0.17557300197296774</v>
      </c>
      <c r="Q23" s="143">
        <f>Model!I37</f>
        <v>0.20549424871994076</v>
      </c>
    </row>
    <row r="24" spans="1:17" x14ac:dyDescent="0.25">
      <c r="A24" s="142" t="s">
        <v>240</v>
      </c>
      <c r="B24" s="142" t="s">
        <v>162</v>
      </c>
      <c r="C24" s="142" t="s">
        <v>240</v>
      </c>
      <c r="D24" s="142" t="s">
        <v>199</v>
      </c>
      <c r="E24" s="142" t="s">
        <v>197</v>
      </c>
      <c r="F24" s="142" t="s">
        <v>198</v>
      </c>
      <c r="G24" s="142"/>
      <c r="H24" s="142"/>
      <c r="I24" s="142"/>
      <c r="J24" s="142"/>
      <c r="K24" s="142"/>
      <c r="L24" s="142"/>
      <c r="M24" s="143">
        <f>Model!E39</f>
        <v>0.43805401119935894</v>
      </c>
      <c r="N24" s="143">
        <f>Model!F39</f>
        <v>3.5577388004688348E-2</v>
      </c>
      <c r="O24" s="143">
        <f>Model!G39</f>
        <v>0.16292039900659172</v>
      </c>
      <c r="P24" s="143">
        <f>Model!H39</f>
        <v>4.5798503280637309E-2</v>
      </c>
      <c r="Q24" s="143">
        <f>Model!I39</f>
        <v>7.085482158466401E-2</v>
      </c>
    </row>
    <row r="25" spans="1:17" x14ac:dyDescent="0.25">
      <c r="A25" s="142" t="s">
        <v>238</v>
      </c>
      <c r="B25" s="142" t="s">
        <v>162</v>
      </c>
      <c r="C25" s="142" t="s">
        <v>238</v>
      </c>
      <c r="D25" s="142" t="s">
        <v>200</v>
      </c>
      <c r="E25" s="142" t="s">
        <v>197</v>
      </c>
      <c r="F25" s="142" t="s">
        <v>198</v>
      </c>
      <c r="G25" s="142"/>
      <c r="H25" s="142"/>
      <c r="I25" s="142"/>
      <c r="J25" s="142"/>
      <c r="K25" s="142"/>
      <c r="L25" s="142"/>
      <c r="M25" s="143">
        <f>Model!E43</f>
        <v>1.0270299729367947</v>
      </c>
      <c r="N25" s="143">
        <f>Model!F43</f>
        <v>1.3255040762908399</v>
      </c>
      <c r="O25" s="143">
        <f>Model!G43</f>
        <v>1.0707090209166246</v>
      </c>
      <c r="P25" s="143">
        <f>Model!H43</f>
        <v>1.1294293084356575</v>
      </c>
      <c r="Q25" s="143">
        <f>Model!I43</f>
        <v>1.0880469897893632</v>
      </c>
    </row>
    <row r="26" spans="1:17" x14ac:dyDescent="0.25">
      <c r="A26" s="142" t="s">
        <v>239</v>
      </c>
      <c r="B26" s="142" t="s">
        <v>162</v>
      </c>
      <c r="C26" s="142" t="s">
        <v>241</v>
      </c>
      <c r="D26" s="142" t="s">
        <v>201</v>
      </c>
      <c r="E26" s="142" t="s">
        <v>197</v>
      </c>
      <c r="F26" s="142" t="s">
        <v>198</v>
      </c>
      <c r="G26" s="142"/>
      <c r="H26" s="142"/>
      <c r="I26" s="142"/>
      <c r="J26" s="142"/>
      <c r="K26" s="142"/>
      <c r="L26" s="142"/>
      <c r="M26" s="143">
        <f>Model!E44</f>
        <v>0.56889405363655787</v>
      </c>
      <c r="N26" s="143">
        <f>Model!F44</f>
        <v>0.73422529716110252</v>
      </c>
      <c r="O26" s="143">
        <f>Model!G44</f>
        <v>0.92773238137238012</v>
      </c>
      <c r="P26" s="143">
        <f>Model!H44</f>
        <v>1.0575124878066746</v>
      </c>
      <c r="Q26" s="143">
        <f>Model!I44</f>
        <v>1.1484176255435476</v>
      </c>
    </row>
    <row r="33" spans="16:16" x14ac:dyDescent="0.25">
      <c r="P33" s="134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D5" sqref="D5:H5"/>
    </sheetView>
  </sheetViews>
  <sheetFormatPr defaultRowHeight="15" x14ac:dyDescent="0.25"/>
  <cols>
    <col min="1" max="1" width="34.5703125" customWidth="1"/>
    <col min="3" max="7" width="9.140625" bestFit="1" customWidth="1"/>
  </cols>
  <sheetData>
    <row r="1" spans="1:8" x14ac:dyDescent="0.2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/>
      <c r="D4" s="4">
        <f>machine_readable!M2</f>
        <v>5</v>
      </c>
      <c r="E4" s="4">
        <f>machine_readable!N2</f>
        <v>0</v>
      </c>
      <c r="F4" s="4">
        <f>machine_readable!O2</f>
        <v>0</v>
      </c>
      <c r="G4" s="4">
        <f>machine_readable!P2</f>
        <v>0</v>
      </c>
      <c r="H4" s="4">
        <f>machine_readable!Q2</f>
        <v>0</v>
      </c>
    </row>
    <row r="5" spans="1:8" x14ac:dyDescent="0.25">
      <c r="A5" s="3" t="s">
        <v>2</v>
      </c>
      <c r="B5" s="4" t="s">
        <v>5</v>
      </c>
      <c r="C5" s="4"/>
      <c r="D5" s="4">
        <f>machine_readable!M3</f>
        <v>7</v>
      </c>
      <c r="E5" s="4">
        <f>machine_readable!N3</f>
        <v>0</v>
      </c>
      <c r="F5" s="4">
        <f>machine_readable!O3</f>
        <v>0</v>
      </c>
      <c r="G5" s="4">
        <f>machine_readable!P3</f>
        <v>0</v>
      </c>
      <c r="H5" s="4">
        <f>machine_readable!Q3</f>
        <v>0</v>
      </c>
    </row>
    <row r="6" spans="1:8" x14ac:dyDescent="0.25">
      <c r="A6" s="3" t="s">
        <v>3</v>
      </c>
      <c r="B6" s="4" t="s">
        <v>5</v>
      </c>
      <c r="C6" s="59"/>
      <c r="D6" s="59">
        <f t="shared" ref="D6:G6" si="2">D4-D5</f>
        <v>-2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53</v>
      </c>
      <c r="B10" s="12" t="s">
        <v>5</v>
      </c>
      <c r="C10" s="13"/>
      <c r="D10" s="13">
        <f>Model!E53</f>
        <v>-3.3978037772711606E-2</v>
      </c>
      <c r="E10" s="13">
        <f>Model!F53</f>
        <v>-6.1328723683919242E-2</v>
      </c>
      <c r="F10" s="13">
        <f>Model!G53</f>
        <v>-6.6055039838965782E-2</v>
      </c>
      <c r="G10" s="13">
        <f>Model!H53</f>
        <v>-7.1378498227372841E-2</v>
      </c>
      <c r="H10" s="13">
        <f>Model!I53</f>
        <v>-7.4579137394605366E-2</v>
      </c>
    </row>
    <row r="11" spans="1:8" x14ac:dyDescent="0.25">
      <c r="A11" s="12" t="s">
        <v>8</v>
      </c>
      <c r="B11" s="12" t="s">
        <v>5</v>
      </c>
      <c r="C11" s="13"/>
      <c r="D11" s="13">
        <f>Model!E54</f>
        <v>-2.0339780377727115</v>
      </c>
      <c r="E11" s="13">
        <f>Model!F54</f>
        <v>-2.0953067614566305</v>
      </c>
      <c r="F11" s="13">
        <f>Model!G54</f>
        <v>-2.1613618012955964</v>
      </c>
      <c r="G11" s="13">
        <f>Model!H54</f>
        <v>-2.2327402995229697</v>
      </c>
      <c r="H11" s="13">
        <f>Model!I54</f>
        <v>-2.3073194369175751</v>
      </c>
    </row>
    <row r="12" spans="1:8" x14ac:dyDescent="0.25">
      <c r="A12" s="12" t="s">
        <v>9</v>
      </c>
      <c r="B12" s="12" t="s">
        <v>5</v>
      </c>
      <c r="C12" s="13"/>
      <c r="D12" s="13">
        <f>Model!E53+Model!E6</f>
        <v>-2.0339780377727115</v>
      </c>
      <c r="E12" s="13">
        <f>Model!F53+Model!F6</f>
        <v>-6.1328723683919242E-2</v>
      </c>
      <c r="F12" s="13">
        <f>Model!G53+Model!G6</f>
        <v>-6.6055039838965782E-2</v>
      </c>
      <c r="G12" s="13">
        <f>Model!H53+Model!H6</f>
        <v>-7.1378498227372841E-2</v>
      </c>
      <c r="H12" s="13">
        <f>Model!I53+Model!I6</f>
        <v>-7.4579137394605366E-2</v>
      </c>
    </row>
    <row r="13" spans="1:8" x14ac:dyDescent="0.25">
      <c r="A13" s="12" t="s">
        <v>52</v>
      </c>
      <c r="B13" s="12" t="s">
        <v>5</v>
      </c>
      <c r="C13" s="50"/>
      <c r="D13" s="50">
        <f>SUM($C10:D10)</f>
        <v>-3.3978037772711606E-2</v>
      </c>
      <c r="E13" s="50">
        <f>SUM($C10:E10)</f>
        <v>-9.5306761456630848E-2</v>
      </c>
      <c r="F13" s="50">
        <f>SUM($C10:F10)</f>
        <v>-0.16136180129559663</v>
      </c>
      <c r="G13" s="50">
        <f>SUM($C10:G10)</f>
        <v>-0.23274029952296948</v>
      </c>
      <c r="H13" s="50">
        <f>SUM($C10:H10)</f>
        <v>-0.30731943691757485</v>
      </c>
    </row>
    <row r="15" spans="1:8" ht="90" x14ac:dyDescent="0.25">
      <c r="A15" s="14" t="s">
        <v>119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topLeftCell="A24" zoomScale="92" zoomScaleNormal="100" workbookViewId="0">
      <selection activeCell="G51" sqref="G51:I5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5" width="11.85546875" bestFit="1" customWidth="1"/>
    <col min="6" max="6" width="12.5703125" bestFit="1" customWidth="1"/>
    <col min="7" max="9" width="12.85546875" bestFit="1" customWidth="1"/>
  </cols>
  <sheetData>
    <row r="1" spans="1:9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2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5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2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7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2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-2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2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2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25">
      <c r="A11" s="33" t="s">
        <v>297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2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2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2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2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25">
      <c r="A16" s="26" t="s">
        <v>298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2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2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2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SUM('Model Quarterly'!H19:K19)</f>
        <v>-1.3186145607117821E-2</v>
      </c>
      <c r="F20" s="9">
        <f>SUM('Model Quarterly'!L19:O19)</f>
        <v>0</v>
      </c>
      <c r="G20" s="9">
        <f>SUM('Model Quarterly'!P19:S19)</f>
        <v>0</v>
      </c>
      <c r="H20" s="9">
        <f>SUM('Model Quarterly'!T19:W19)</f>
        <v>0</v>
      </c>
      <c r="I20" s="9">
        <f>SUM('Model Quarterly'!X19:AA19)</f>
        <v>0</v>
      </c>
      <c r="V20" s="24"/>
    </row>
    <row r="21" spans="1:23" x14ac:dyDescent="0.2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>E53-E20</f>
        <v>-2.0791892165593785E-2</v>
      </c>
      <c r="F21" s="9">
        <f>F53-F20</f>
        <v>-6.1328723683919242E-2</v>
      </c>
      <c r="G21" s="9">
        <f t="shared" si="1"/>
        <v>-6.6055039838965782E-2</v>
      </c>
      <c r="H21" s="9">
        <f t="shared" si="1"/>
        <v>-7.1378498227372841E-2</v>
      </c>
      <c r="I21" s="9">
        <f t="shared" si="1"/>
        <v>-7.4579137394605366E-2</v>
      </c>
    </row>
    <row r="22" spans="1:23" ht="26.25" x14ac:dyDescent="0.2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>-(E6+E20+E21)</f>
        <v>2.0339780377727115</v>
      </c>
      <c r="F22" s="9">
        <f>-(F6+F20+F21)</f>
        <v>6.1328723683919242E-2</v>
      </c>
      <c r="G22" s="9">
        <f t="shared" si="2"/>
        <v>6.6055039838965782E-2</v>
      </c>
      <c r="H22" s="9">
        <f t="shared" si="2"/>
        <v>7.1378498227372841E-2</v>
      </c>
      <c r="I22" s="9">
        <f>-(I6+I20+I21)</f>
        <v>7.4579137394605366E-2</v>
      </c>
    </row>
    <row r="23" spans="1:23" ht="26.25" x14ac:dyDescent="0.25">
      <c r="A23" s="7" t="s">
        <v>236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2.0339780377727115</v>
      </c>
      <c r="F23" s="9">
        <f t="shared" si="3"/>
        <v>2.0953067614566305</v>
      </c>
      <c r="G23" s="9">
        <f t="shared" si="3"/>
        <v>2.1613618012955964</v>
      </c>
      <c r="H23" s="9">
        <f t="shared" si="3"/>
        <v>2.2327402995229697</v>
      </c>
      <c r="I23" s="9">
        <f t="shared" si="3"/>
        <v>2.3073194369175751</v>
      </c>
    </row>
    <row r="24" spans="1:23" x14ac:dyDescent="0.2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2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25" x14ac:dyDescent="0.25">
      <c r="A26" s="26" t="s">
        <v>299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1.4398557463721731</v>
      </c>
      <c r="F26" s="60">
        <f>SUM('Model Quarterly'!L28:O28)</f>
        <v>0.41844898803557318</v>
      </c>
      <c r="G26" s="60">
        <f>SUM('Model Quarterly'!P28:S28)</f>
        <v>0.48976129278252556</v>
      </c>
      <c r="H26" s="60">
        <f>SUM('Model Quarterly'!T28:W28)</f>
        <v>0.32847000389564784</v>
      </c>
      <c r="I26" s="60">
        <f>SUM('Model Quarterly'!X28:AA28)</f>
        <v>0.23007849020128884</v>
      </c>
    </row>
    <row r="27" spans="1:23" ht="26.25" x14ac:dyDescent="0.25">
      <c r="A27" s="26" t="s">
        <v>300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0.60413527819811452</v>
      </c>
      <c r="F27" s="60">
        <f>SUM('Model Quarterly'!L29:O29)</f>
        <v>0.17557300197296774</v>
      </c>
      <c r="G27" s="60">
        <f>SUM('Model Quarterly'!P29:S29)</f>
        <v>0.20549424871994076</v>
      </c>
      <c r="H27" s="60">
        <f>SUM('Model Quarterly'!T29:W29)</f>
        <v>0.13781958205411796</v>
      </c>
      <c r="I27" s="60">
        <f>SUM('Model Quarterly'!X29:AA29)</f>
        <v>9.6536429455086212E-2</v>
      </c>
    </row>
    <row r="28" spans="1:23" ht="26.25" x14ac:dyDescent="0.25">
      <c r="A28" s="26" t="s">
        <v>301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25" x14ac:dyDescent="0.25">
      <c r="A29" s="26" t="s">
        <v>302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0.42289469473868013</v>
      </c>
      <c r="F29" s="60">
        <f>SUM('Model Quarterly'!L31:O31)</f>
        <v>0.12290110138107743</v>
      </c>
      <c r="G29" s="60">
        <f>SUM('Model Quarterly'!P31:S31)</f>
        <v>0.14384597410395852</v>
      </c>
      <c r="H29" s="60">
        <f>SUM('Model Quarterly'!T31:W31)</f>
        <v>9.6473707437882583E-2</v>
      </c>
      <c r="I29" s="60">
        <f>SUM('Model Quarterly'!X31:AA31)</f>
        <v>6.7575500618560339E-2</v>
      </c>
    </row>
    <row r="30" spans="1:23" x14ac:dyDescent="0.25">
      <c r="A30" s="26" t="s">
        <v>303</v>
      </c>
      <c r="B30" s="26" t="s">
        <v>309</v>
      </c>
      <c r="C30" s="30"/>
      <c r="D30" s="131">
        <f>SUM(D27:D29)</f>
        <v>0</v>
      </c>
      <c r="E30" s="131">
        <f t="shared" ref="E30:I30" si="4">SUM(E27:E29)</f>
        <v>1.0270299729367947</v>
      </c>
      <c r="F30" s="131">
        <f t="shared" si="4"/>
        <v>0.29847410335404517</v>
      </c>
      <c r="G30" s="131">
        <f t="shared" si="4"/>
        <v>0.34934022282389932</v>
      </c>
      <c r="H30" s="131">
        <f t="shared" si="4"/>
        <v>0.23429328949200054</v>
      </c>
      <c r="I30" s="131">
        <f t="shared" si="4"/>
        <v>0.16411193007364655</v>
      </c>
    </row>
    <row r="31" spans="1:23" ht="26.25" x14ac:dyDescent="0.25">
      <c r="A31" s="26" t="s">
        <v>304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0.56889405363655787</v>
      </c>
      <c r="F31" s="60">
        <f>SUM('Model Quarterly'!L32:O32)</f>
        <v>0.16533124352454465</v>
      </c>
      <c r="G31" s="60">
        <f>SUM('Model Quarterly'!P32:S32)</f>
        <v>0.19350708421127755</v>
      </c>
      <c r="H31" s="60">
        <f>SUM('Model Quarterly'!T32:W32)</f>
        <v>0.12978010643429441</v>
      </c>
      <c r="I31" s="60">
        <f>SUM('Model Quarterly'!X32:AA32)</f>
        <v>9.0905137736872837E-2</v>
      </c>
    </row>
    <row r="32" spans="1:23" x14ac:dyDescent="0.2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25">
      <c r="A33" s="26" t="s">
        <v>310</v>
      </c>
      <c r="B33" s="36" t="s">
        <v>311</v>
      </c>
      <c r="C33" s="30"/>
      <c r="D33" s="9">
        <f>SUM('Model Quarterly'!D55:G55)</f>
        <v>0</v>
      </c>
      <c r="E33" s="60">
        <f>SUM('Model Quarterly'!H55:K55)</f>
        <v>1.0018017351728141</v>
      </c>
      <c r="F33" s="60">
        <f>SUM('Model Quarterly'!L55:O55)</f>
        <v>0.82092561123024388</v>
      </c>
      <c r="G33" s="60">
        <f>SUM('Model Quarterly'!P55:S55)</f>
        <v>0.36241828178062219</v>
      </c>
      <c r="H33" s="60">
        <f>SUM('Model Quarterly'!T55:W55)</f>
        <v>0.44559189962160228</v>
      </c>
      <c r="I33" s="60">
        <f>SUM('Model Quarterly'!X55:AA55)</f>
        <v>0.20502217189726213</v>
      </c>
    </row>
    <row r="34" spans="1:14" x14ac:dyDescent="0.25">
      <c r="A34" s="26" t="s">
        <v>305</v>
      </c>
      <c r="B34" s="36" t="s">
        <v>312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0.60413527819811452</v>
      </c>
      <c r="H34" s="60">
        <f>SUM('Model Quarterly'!T56:W56)</f>
        <v>0.17557300197296774</v>
      </c>
      <c r="I34" s="60">
        <f>SUM('Model Quarterly'!X56:AA56)</f>
        <v>0.20549424871994076</v>
      </c>
    </row>
    <row r="35" spans="1:14" x14ac:dyDescent="0.25">
      <c r="A35" s="26" t="s">
        <v>306</v>
      </c>
      <c r="B35" s="36" t="s">
        <v>313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25">
      <c r="A36" s="26" t="s">
        <v>307</v>
      </c>
      <c r="B36" s="36" t="s">
        <v>314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25">
      <c r="A37" s="26" t="s">
        <v>308</v>
      </c>
      <c r="B37" s="36" t="s">
        <v>315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0.60413527819811452</v>
      </c>
      <c r="H37" s="60">
        <f>SUM('Model Quarterly'!T59:W59)</f>
        <v>0.17557300197296774</v>
      </c>
      <c r="I37" s="60">
        <f>SUM('Model Quarterly'!X59:AA59)</f>
        <v>0.20549424871994076</v>
      </c>
    </row>
    <row r="38" spans="1:14" x14ac:dyDescent="0.2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25">
      <c r="A39" s="26" t="s">
        <v>237</v>
      </c>
      <c r="B39" s="36" t="s">
        <v>109</v>
      </c>
      <c r="C39" s="30"/>
      <c r="D39" s="9">
        <f>'Model Quarterly'!G36</f>
        <v>0</v>
      </c>
      <c r="E39" s="60">
        <f>'Model Quarterly'!K36</f>
        <v>0.43805401119935894</v>
      </c>
      <c r="F39" s="60">
        <f>'Model Quarterly'!O36</f>
        <v>3.5577388004688348E-2</v>
      </c>
      <c r="G39" s="60">
        <f>'Model Quarterly'!S36</f>
        <v>0.16292039900659172</v>
      </c>
      <c r="H39" s="60">
        <f>'Model Quarterly'!W36</f>
        <v>4.5798503280637309E-2</v>
      </c>
      <c r="I39" s="60">
        <f>'Model Quarterly'!AA36</f>
        <v>7.085482158466401E-2</v>
      </c>
    </row>
    <row r="40" spans="1:14" ht="26.25" x14ac:dyDescent="0.25">
      <c r="A40" s="26" t="s">
        <v>242</v>
      </c>
      <c r="B40" s="36" t="s">
        <v>110</v>
      </c>
      <c r="C40" s="30"/>
      <c r="D40" s="9">
        <f>'Model Quarterly'!G37</f>
        <v>0</v>
      </c>
      <c r="E40" s="60">
        <f>'Model Quarterly'!K37</f>
        <v>0.60413527819811452</v>
      </c>
      <c r="F40" s="60">
        <f>'Model Quarterly'!O37</f>
        <v>0.77970828017108229</v>
      </c>
      <c r="G40" s="60">
        <f>'Model Quarterly'!S37</f>
        <v>0.38106725069290859</v>
      </c>
      <c r="H40" s="60">
        <f>'Model Quarterly'!W37</f>
        <v>0.34331383077405886</v>
      </c>
      <c r="I40" s="60">
        <f>'Model Quarterly'!AA37</f>
        <v>0.23435601150920432</v>
      </c>
    </row>
    <row r="41" spans="1:14" ht="26.25" x14ac:dyDescent="0.25">
      <c r="A41" s="26" t="s">
        <v>243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25" x14ac:dyDescent="0.25">
      <c r="A42" s="7" t="s">
        <v>244</v>
      </c>
      <c r="B42" s="36" t="s">
        <v>110</v>
      </c>
      <c r="C42" s="30"/>
      <c r="D42" s="9">
        <f>'Model Quarterly'!G39</f>
        <v>0</v>
      </c>
      <c r="E42" s="60">
        <f>'Model Quarterly'!K39</f>
        <v>0.42289469473868013</v>
      </c>
      <c r="F42" s="60">
        <f>'Model Quarterly'!O39</f>
        <v>0.54579579611975748</v>
      </c>
      <c r="G42" s="60">
        <f>'Model Quarterly'!S39</f>
        <v>0.68964177022371598</v>
      </c>
      <c r="H42" s="60">
        <f>'Model Quarterly'!W39</f>
        <v>0.78611547766159851</v>
      </c>
      <c r="I42" s="60">
        <f>'Model Quarterly'!AA39</f>
        <v>0.85369097828015883</v>
      </c>
    </row>
    <row r="43" spans="1:14" x14ac:dyDescent="0.25">
      <c r="A43" s="7" t="s">
        <v>238</v>
      </c>
      <c r="B43" s="36" t="s">
        <v>232</v>
      </c>
      <c r="C43" s="30"/>
      <c r="D43" s="9">
        <f>'Model Quarterly'!G40</f>
        <v>0</v>
      </c>
      <c r="E43" s="60">
        <f>'Model Quarterly'!K40</f>
        <v>1.0270299729367947</v>
      </c>
      <c r="F43" s="60">
        <f>'Model Quarterly'!O40</f>
        <v>1.3255040762908399</v>
      </c>
      <c r="G43" s="60">
        <f>'Model Quarterly'!S40</f>
        <v>1.0707090209166246</v>
      </c>
      <c r="H43" s="60">
        <f>'Model Quarterly'!W40</f>
        <v>1.1294293084356575</v>
      </c>
      <c r="I43" s="60">
        <f>'Model Quarterly'!AA40</f>
        <v>1.0880469897893632</v>
      </c>
    </row>
    <row r="44" spans="1:14" ht="26.25" x14ac:dyDescent="0.2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0.56889405363655787</v>
      </c>
      <c r="F44" s="60">
        <f>'Model Quarterly'!O41</f>
        <v>0.73422529716110252</v>
      </c>
      <c r="G44" s="60">
        <f>'Model Quarterly'!S41</f>
        <v>0.92773238137238012</v>
      </c>
      <c r="H44" s="60">
        <f>'Model Quarterly'!W41</f>
        <v>1.0575124878066746</v>
      </c>
      <c r="I44" s="60">
        <f>'Model Quarterly'!AA41</f>
        <v>1.1484176255435476</v>
      </c>
      <c r="J44" s="67"/>
    </row>
    <row r="45" spans="1:14" x14ac:dyDescent="0.25">
      <c r="A45" s="7" t="s">
        <v>114</v>
      </c>
      <c r="B45" s="36" t="s">
        <v>116</v>
      </c>
      <c r="C45" s="30"/>
      <c r="D45" s="58">
        <f t="shared" ref="D45:H45" si="5">IF(D23=0,0,D39/D23)</f>
        <v>0</v>
      </c>
      <c r="E45" s="58">
        <f t="shared" si="5"/>
        <v>0.21536811266607669</v>
      </c>
      <c r="F45" s="58">
        <f t="shared" si="5"/>
        <v>1.6979560539362459E-2</v>
      </c>
      <c r="G45" s="58">
        <f t="shared" si="5"/>
        <v>7.5378587198557639E-2</v>
      </c>
      <c r="H45" s="58">
        <f t="shared" si="5"/>
        <v>2.0512239283011227E-2</v>
      </c>
      <c r="I45" s="58">
        <f>IF(I23=0,0,I39/I23)</f>
        <v>3.0708717852835032E-2</v>
      </c>
      <c r="J45" s="66"/>
      <c r="K45" s="66"/>
      <c r="L45" s="66"/>
      <c r="M45" s="66"/>
      <c r="N45" s="66"/>
    </row>
    <row r="46" spans="1:14" x14ac:dyDescent="0.2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0.29702153463744729</v>
      </c>
      <c r="F46" s="58">
        <f t="shared" si="6"/>
        <v>0.37212130200402688</v>
      </c>
      <c r="G46" s="58">
        <f t="shared" si="6"/>
        <v>0.17630886715240524</v>
      </c>
      <c r="H46" s="58">
        <f t="shared" si="6"/>
        <v>0.15376344075816104</v>
      </c>
      <c r="I46" s="58">
        <f>IF(I$23=0,0,I40/I$23)</f>
        <v>0.10157068317436285</v>
      </c>
    </row>
    <row r="47" spans="1:14" x14ac:dyDescent="0.2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2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0.20791507424621311</v>
      </c>
      <c r="F48" s="58">
        <f t="shared" si="7"/>
        <v>0.26048491140281876</v>
      </c>
      <c r="G48" s="58">
        <f t="shared" si="7"/>
        <v>0.31907743063207666</v>
      </c>
      <c r="H48" s="58">
        <f t="shared" si="7"/>
        <v>0.35208549683523604</v>
      </c>
      <c r="I48" s="58">
        <f>IF(I$23=0,0,I42/I$23)</f>
        <v>0.36999253966352963</v>
      </c>
    </row>
    <row r="49" spans="1:9" x14ac:dyDescent="0.2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0.27969527845026287</v>
      </c>
      <c r="F49" s="58">
        <f t="shared" si="8"/>
        <v>0.35041422605379197</v>
      </c>
      <c r="G49" s="58">
        <f t="shared" si="8"/>
        <v>0.42923511501696043</v>
      </c>
      <c r="H49" s="58">
        <f t="shared" si="8"/>
        <v>0.47363882312359151</v>
      </c>
      <c r="I49" s="58">
        <f t="shared" si="8"/>
        <v>0.49772805930927233</v>
      </c>
    </row>
    <row r="50" spans="1:9" x14ac:dyDescent="0.25">
      <c r="A50" s="7"/>
      <c r="B50" s="36"/>
      <c r="C50" s="30"/>
      <c r="D50" s="8"/>
      <c r="E50" s="8"/>
      <c r="F50" s="132"/>
      <c r="G50" s="132"/>
      <c r="H50" s="132"/>
      <c r="I50" s="132"/>
    </row>
    <row r="51" spans="1:9" x14ac:dyDescent="0.25">
      <c r="E51" s="66"/>
      <c r="F51" s="66"/>
      <c r="G51" s="67"/>
      <c r="H51" s="67"/>
      <c r="I51" s="67"/>
    </row>
    <row r="52" spans="1:9" x14ac:dyDescent="0.2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2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-3.3978037772711606E-2</v>
      </c>
      <c r="F53" s="13">
        <f>SUM('Model Quarterly'!L74:O74)</f>
        <v>-6.1328723683919242E-2</v>
      </c>
      <c r="G53" s="13">
        <f>SUM('Model Quarterly'!P74:S74)</f>
        <v>-6.6055039838965782E-2</v>
      </c>
      <c r="H53" s="13">
        <f>SUM('Model Quarterly'!T74:W74)</f>
        <v>-7.1378498227372841E-2</v>
      </c>
      <c r="I53" s="13">
        <f>SUM('Model Quarterly'!X74:AA74)</f>
        <v>-7.4579137394605366E-2</v>
      </c>
    </row>
    <row r="54" spans="1:9" x14ac:dyDescent="0.25">
      <c r="A54" s="12" t="s">
        <v>44</v>
      </c>
      <c r="B54" s="44"/>
      <c r="C54" s="12"/>
      <c r="D54" s="13">
        <f>'Model Quarterly'!G75</f>
        <v>0</v>
      </c>
      <c r="E54" s="13">
        <f>'Model Quarterly'!K75</f>
        <v>-2.0339780377727115</v>
      </c>
      <c r="F54" s="13">
        <f>'Model Quarterly'!O75</f>
        <v>-2.0953067614566305</v>
      </c>
      <c r="G54" s="13">
        <f>'Model Quarterly'!S75</f>
        <v>-2.1613618012955964</v>
      </c>
      <c r="H54" s="13">
        <f>'Model Quarterly'!W75</f>
        <v>-2.2327402995229697</v>
      </c>
      <c r="I54" s="13">
        <f>'Model Quarterly'!AA75</f>
        <v>-2.3073194369175751</v>
      </c>
    </row>
    <row r="55" spans="1:9" x14ac:dyDescent="0.25">
      <c r="A55" s="12" t="s">
        <v>43</v>
      </c>
      <c r="B55" s="44"/>
      <c r="C55" s="12"/>
      <c r="D55" s="13">
        <f>SUM($D53:D53)</f>
        <v>0</v>
      </c>
      <c r="E55" s="13">
        <f>SUM($D53:E53)</f>
        <v>-3.3978037772711606E-2</v>
      </c>
      <c r="F55" s="13">
        <f>SUM($D53:F53)</f>
        <v>-9.5306761456630848E-2</v>
      </c>
      <c r="G55" s="13">
        <f>SUM($D53:G53)</f>
        <v>-0.16136180129559663</v>
      </c>
      <c r="H55" s="13">
        <f>SUM($D53:H53)</f>
        <v>-0.23274029952296948</v>
      </c>
      <c r="I55" s="13">
        <f>SUM($D53:I53)</f>
        <v>-0.30731943691757485</v>
      </c>
    </row>
    <row r="57" spans="1:9" x14ac:dyDescent="0.25">
      <c r="D57" s="16"/>
      <c r="E57" s="16"/>
      <c r="F57" s="16"/>
      <c r="G57" s="16"/>
      <c r="H57" s="16"/>
      <c r="I57" s="16"/>
    </row>
    <row r="58" spans="1:9" x14ac:dyDescent="0.25">
      <c r="D58" s="18"/>
      <c r="E58" s="18"/>
      <c r="F58" s="18"/>
      <c r="G58" s="18"/>
      <c r="H58" s="18"/>
      <c r="I58" s="18"/>
    </row>
    <row r="59" spans="1:9" x14ac:dyDescent="0.25">
      <c r="D59" s="17"/>
      <c r="E59" s="18"/>
      <c r="F59" s="18"/>
      <c r="G59" s="18"/>
      <c r="H59" s="18"/>
      <c r="I59" s="18"/>
    </row>
    <row r="60" spans="1:9" x14ac:dyDescent="0.25">
      <c r="E60" s="18"/>
      <c r="F60" s="18"/>
      <c r="G60" s="18"/>
      <c r="H60" s="18"/>
      <c r="I60" s="18"/>
    </row>
    <row r="61" spans="1:9" x14ac:dyDescent="0.25">
      <c r="E61" s="18"/>
      <c r="F61" s="18"/>
      <c r="G61" s="18"/>
      <c r="H61" s="18"/>
      <c r="I61" s="18"/>
    </row>
    <row r="62" spans="1:9" x14ac:dyDescent="0.25">
      <c r="E62" s="18"/>
      <c r="F62" s="18"/>
      <c r="G62" s="18"/>
      <c r="H62" s="18"/>
      <c r="I62" s="18"/>
    </row>
    <row r="63" spans="1:9" x14ac:dyDescent="0.25">
      <c r="E63" s="67"/>
      <c r="F63" s="67"/>
      <c r="G63" s="67"/>
      <c r="H63" s="67"/>
      <c r="I63" s="67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zoomScale="87" workbookViewId="0">
      <pane xSplit="1" topLeftCell="H1" activePane="topRight" state="frozen"/>
      <selection activeCell="A3" sqref="A3"/>
      <selection pane="topRight" activeCell="L8" sqref="L8:Z8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246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247</v>
      </c>
      <c r="X3" t="s">
        <v>275</v>
      </c>
      <c r="Y3" t="s">
        <v>324</v>
      </c>
      <c r="Z3" t="s">
        <v>325</v>
      </c>
      <c r="AA3" t="s">
        <v>326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1.25</v>
      </c>
      <c r="I5" s="59">
        <f>'For user (EN)'!$D4/4</f>
        <v>1.25</v>
      </c>
      <c r="J5" s="59">
        <f>'For user (EN)'!$D4/4</f>
        <v>1.25</v>
      </c>
      <c r="K5" s="59">
        <f>'For user (EN)'!$D4/4</f>
        <v>1.25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(EN)'!$H4/4</f>
        <v>0</v>
      </c>
      <c r="Y5" s="4">
        <f>'For user (EN)'!$H4/4</f>
        <v>0</v>
      </c>
      <c r="Z5" s="4">
        <f>'For user (EN)'!$H4/4</f>
        <v>0</v>
      </c>
      <c r="AA5" s="4">
        <f>'For user (EN)'!$H4/4</f>
        <v>0</v>
      </c>
    </row>
    <row r="6" spans="1:27" x14ac:dyDescent="0.2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1.75</v>
      </c>
      <c r="I6" s="59">
        <f>'For user (EN)'!$D5/4</f>
        <v>1.75</v>
      </c>
      <c r="J6" s="59">
        <f>'For user (EN)'!$D5/4</f>
        <v>1.75</v>
      </c>
      <c r="K6" s="59">
        <f>'For user (EN)'!$D5/4</f>
        <v>1.75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-0.5</v>
      </c>
      <c r="I7" s="59">
        <f>'For user (EN)'!$D6/4</f>
        <v>-0.5</v>
      </c>
      <c r="J7" s="59">
        <f>'For user (EN)'!$D6/4</f>
        <v>-0.5</v>
      </c>
      <c r="K7" s="59">
        <f>'For user (EN)'!$D6/4</f>
        <v>-0.5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8" spans="1:27" x14ac:dyDescent="0.25"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2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2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2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2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2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-3.2693485213314871E-3</v>
      </c>
      <c r="I19" s="9">
        <f t="shared" si="0"/>
        <v>-3.28087035537184E-3</v>
      </c>
      <c r="J19" s="9">
        <f t="shared" si="0"/>
        <v>-3.3051473937393766E-3</v>
      </c>
      <c r="K19" s="9">
        <f t="shared" si="0"/>
        <v>-3.3307793366751169E-3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>(H71/100)*H75/4</f>
        <v>-3.2907258008393523E-3</v>
      </c>
      <c r="J20" s="9">
        <f>(I71/100)*I75/4</f>
        <v>-6.8681528963554783E-3</v>
      </c>
      <c r="K20" s="9">
        <f t="shared" si="2"/>
        <v>-1.0633013468398959E-2</v>
      </c>
      <c r="L20" s="9">
        <f>(K71/100)*K75/4</f>
        <v>-1.4532617608445743E-2</v>
      </c>
      <c r="M20" s="9">
        <f t="shared" si="2"/>
        <v>-1.5307976643098091E-2</v>
      </c>
      <c r="N20" s="9">
        <f t="shared" si="2"/>
        <v>-1.5616456965926824E-2</v>
      </c>
      <c r="O20" s="9">
        <f t="shared" si="2"/>
        <v>-1.5871672466448584E-2</v>
      </c>
      <c r="P20" s="9">
        <f t="shared" si="2"/>
        <v>-1.6027916112672052E-2</v>
      </c>
      <c r="Q20" s="9">
        <f t="shared" si="2"/>
        <v>-1.6306667971831463E-2</v>
      </c>
      <c r="R20" s="9">
        <f t="shared" si="2"/>
        <v>-1.6664962560526811E-2</v>
      </c>
      <c r="S20" s="9">
        <f t="shared" si="2"/>
        <v>-1.7055493193935459E-2</v>
      </c>
      <c r="T20" s="9">
        <f>(S71/100)*S75/4</f>
        <v>-1.7451922202024756E-2</v>
      </c>
      <c r="U20" s="9">
        <f t="shared" si="2"/>
        <v>-1.774717932241936E-2</v>
      </c>
      <c r="V20" s="9">
        <f t="shared" si="2"/>
        <v>-1.798892040030723E-2</v>
      </c>
      <c r="W20" s="9">
        <f t="shared" si="2"/>
        <v>-1.8190476302621491E-2</v>
      </c>
      <c r="X20" s="9">
        <f>(W71/100)*W75/4</f>
        <v>-1.837200249371131E-2</v>
      </c>
      <c r="Y20" s="9">
        <f t="shared" ref="Y20" si="3">(X71/100)*X75/4</f>
        <v>-1.8548738262108781E-2</v>
      </c>
      <c r="Z20" s="9">
        <f t="shared" ref="Z20" si="4">(Y71/100)*Y75/4</f>
        <v>-1.8732091222094086E-2</v>
      </c>
      <c r="AA20" s="9">
        <f t="shared" ref="AA20" si="5">(Z71/100)*Z75/4</f>
        <v>-1.8926305416691186E-2</v>
      </c>
    </row>
    <row r="21" spans="1:27" ht="26.25" x14ac:dyDescent="0.2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0.50326934852133154</v>
      </c>
      <c r="I21" s="9">
        <f>-(I7+I19+I20)</f>
        <v>0.50657159615621117</v>
      </c>
      <c r="J21" s="9">
        <f>-(J7+J19+J20)</f>
        <v>0.51017330029009478</v>
      </c>
      <c r="K21" s="9">
        <f t="shared" si="6"/>
        <v>0.51396379280507409</v>
      </c>
      <c r="L21" s="9">
        <f>-(L7+L19+L20)</f>
        <v>1.4532617608445743E-2</v>
      </c>
      <c r="M21" s="9">
        <f t="shared" si="6"/>
        <v>1.5307976643098091E-2</v>
      </c>
      <c r="N21" s="9">
        <f t="shared" si="6"/>
        <v>1.5616456965926824E-2</v>
      </c>
      <c r="O21" s="9">
        <f t="shared" si="6"/>
        <v>1.5871672466448584E-2</v>
      </c>
      <c r="P21" s="9">
        <f>-(P7+P19+P20)</f>
        <v>1.6027916112672052E-2</v>
      </c>
      <c r="Q21" s="9">
        <f t="shared" si="6"/>
        <v>1.6306667971831463E-2</v>
      </c>
      <c r="R21" s="9">
        <f t="shared" si="6"/>
        <v>1.6664962560526811E-2</v>
      </c>
      <c r="S21" s="9">
        <f t="shared" si="6"/>
        <v>1.7055493193935459E-2</v>
      </c>
      <c r="T21" s="9">
        <f t="shared" si="6"/>
        <v>1.7451922202024756E-2</v>
      </c>
      <c r="U21" s="9">
        <f t="shared" si="6"/>
        <v>1.774717932241936E-2</v>
      </c>
      <c r="V21" s="9">
        <f t="shared" si="6"/>
        <v>1.798892040030723E-2</v>
      </c>
      <c r="W21" s="9">
        <f t="shared" si="6"/>
        <v>1.8190476302621491E-2</v>
      </c>
      <c r="X21" s="9">
        <f t="shared" ref="X21:AA21" si="7">-(X7+X19+X20)</f>
        <v>1.837200249371131E-2</v>
      </c>
      <c r="Y21" s="9">
        <f t="shared" si="7"/>
        <v>1.8548738262108781E-2</v>
      </c>
      <c r="Z21" s="9">
        <f t="shared" si="7"/>
        <v>1.8732091222094086E-2</v>
      </c>
      <c r="AA21" s="9">
        <f t="shared" si="7"/>
        <v>1.8926305416691186E-2</v>
      </c>
    </row>
    <row r="22" spans="1:27" ht="26.25" x14ac:dyDescent="0.25">
      <c r="A22" s="7" t="s">
        <v>236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0.50326934852133154</v>
      </c>
      <c r="I22" s="9">
        <f>MAX(0,SUM($D21:I21))</f>
        <v>1.0098409446775427</v>
      </c>
      <c r="J22" s="9">
        <f>MAX(0,SUM($D21:J21))</f>
        <v>1.5200142449676375</v>
      </c>
      <c r="K22" s="9">
        <f>MAX(0,SUM($D21:K21))</f>
        <v>2.0339780377727115</v>
      </c>
      <c r="L22" s="9">
        <f>MAX(0,SUM($D21:L21))</f>
        <v>2.0485106553811572</v>
      </c>
      <c r="M22" s="9">
        <f>MAX(0,SUM($D21:M21))</f>
        <v>2.0638186320242551</v>
      </c>
      <c r="N22" s="9">
        <f>MAX(0,SUM($D21:N21))</f>
        <v>2.079435088990182</v>
      </c>
      <c r="O22" s="9">
        <f>MAX(0,SUM($D21:O21))</f>
        <v>2.0953067614566305</v>
      </c>
      <c r="P22" s="9">
        <f>MAX(0,SUM($D21:P21))</f>
        <v>2.1113346775693027</v>
      </c>
      <c r="Q22" s="9">
        <f>MAX(0,SUM($D21:Q21))</f>
        <v>2.127641345541134</v>
      </c>
      <c r="R22" s="9">
        <f>MAX(0,SUM($D21:R21))</f>
        <v>2.1443063081016609</v>
      </c>
      <c r="S22" s="9">
        <f>MAX(0,SUM($D21:S21))</f>
        <v>2.1613618012955964</v>
      </c>
      <c r="T22" s="9">
        <f>MAX(0,SUM($D21:T21))</f>
        <v>2.1788137234976213</v>
      </c>
      <c r="U22" s="9">
        <f>MAX(0,SUM($D21:U21))</f>
        <v>2.1965609028200408</v>
      </c>
      <c r="V22" s="9">
        <f>MAX(0,SUM($D21:V21))</f>
        <v>2.2145498232203482</v>
      </c>
      <c r="W22" s="9">
        <f>MAX(0,SUM($D21:W21))</f>
        <v>2.2327402995229697</v>
      </c>
      <c r="X22" s="9">
        <f>MAX(0,SUM($D21:X21))</f>
        <v>2.251112302016681</v>
      </c>
      <c r="Y22" s="9">
        <f>MAX(0,SUM($D21:Y21))</f>
        <v>2.2696610402787898</v>
      </c>
      <c r="Z22" s="9">
        <f>MAX(0,SUM($D21:Z21))</f>
        <v>2.2883931315008841</v>
      </c>
      <c r="AA22" s="9">
        <f>MAX(0,SUM($D21:AA21))</f>
        <v>2.3073194369175751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255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0.23869823163698312</v>
      </c>
      <c r="I25" s="9">
        <f>IF(I$22&gt;0,MIN(MAX(SUM(I$21,I$55,I$59),0),I$22)*'Fiscal Model Import'!T44,0)</f>
        <v>0.35347789510589317</v>
      </c>
      <c r="J25" s="9">
        <f>IF(J$22&gt;0,MIN(MAX(SUM(J$21,J$55,J$59),0),J$22)*'Fiscal Model Import'!U44,0)</f>
        <v>0.40962560842993789</v>
      </c>
      <c r="K25" s="9">
        <f>IF(K$22&gt;0,MIN(MAX(SUM(K$21,K$55,K$59),0),K$22)*'Fiscal Model Import'!V44,0)</f>
        <v>0.43805401119935894</v>
      </c>
      <c r="L25" s="9">
        <f>IF(L$22&gt;0,MIN(MAX(SUM(L$21,L$55,L$59),0),L$22)*'Fiscal Model Import'!W44,0)</f>
        <v>0.21465966142459725</v>
      </c>
      <c r="M25" s="9">
        <f>IF(M$22&gt;0,MIN(MAX(SUM(M$21,M$55,M$59),0),M$22)*'Fiscal Model Import'!X44,0)</f>
        <v>0.10907254475515898</v>
      </c>
      <c r="N25" s="9">
        <f>IF(N$22&gt;0,MIN(MAX(SUM(N$21,N$55,N$59),0),N$22)*'Fiscal Model Import'!Y44,0)</f>
        <v>5.9139393851128597E-2</v>
      </c>
      <c r="O25" s="9">
        <f>IF(O$22&gt;0,MIN(MAX(SUM(O$21,O$55,O$59),0),O$22)*'Fiscal Model Import'!Z44,0)</f>
        <v>3.5577388004688348E-2</v>
      </c>
      <c r="P25" s="9">
        <f>IF(P$22&gt;0,MIN(MAX(SUM(P$21,P$55,P$59),0),P$22)*'Fiscal Model Import'!AA44,0)</f>
        <v>7.1978283207301916E-2</v>
      </c>
      <c r="Q25" s="9">
        <f>IF(Q$22&gt;0,MIN(MAX(SUM(Q$21,Q$55,Q$59),0),Q$22)*'Fiscal Model Import'!AB44,0)</f>
        <v>0.11221698747916968</v>
      </c>
      <c r="R25" s="9">
        <f>IF(R$22&gt;0,MIN(MAX(SUM(R$21,R$55,R$59),0),R$22)*'Fiscal Model Import'!AC44,0)</f>
        <v>0.14264562308946224</v>
      </c>
      <c r="S25" s="9">
        <f>IF(S$22&gt;0,MIN(MAX(SUM(S$21,S$55,S$59),0),S$22)*'Fiscal Model Import'!AD44,0)</f>
        <v>0.16292039900659172</v>
      </c>
      <c r="T25" s="9">
        <f>IF(T$22&gt;0,MIN(MAX(SUM(T$21,T$55,T$59),0),T$22)*'Fiscal Model Import'!AE44,0)</f>
        <v>0.12826806506901489</v>
      </c>
      <c r="U25" s="9">
        <f>IF(U$22&gt;0,MIN(MAX(SUM(U$21,U$55,U$59),0),U$22)*'Fiscal Model Import'!AF44,0)</f>
        <v>9.0960307241408425E-2</v>
      </c>
      <c r="V25" s="9">
        <f>IF(V$22&gt;0,MIN(MAX(SUM(V$21,V$55,V$59),0),V$22)*'Fiscal Model Import'!AG44,0)</f>
        <v>6.3443128304587232E-2</v>
      </c>
      <c r="W25" s="9">
        <f>IF(W$22&gt;0,MIN(MAX(SUM(W$21,W$55,W$59),0),W$22)*'Fiscal Model Import'!AH44,0)</f>
        <v>4.5798503280637302E-2</v>
      </c>
      <c r="X25" s="9">
        <f>IF(X$22&gt;0,MIN(MAX(SUM(X$21,X$55,X$59),0),X$22)*'Fiscal Model Import'!AI44,0)</f>
        <v>4.4759798733565399E-2</v>
      </c>
      <c r="Y25" s="9">
        <f>IF(Y$22&gt;0,MIN(MAX(SUM(Y$21,Y$55,Y$59),0),Y$22)*'Fiscal Model Import'!AJ44,0)</f>
        <v>5.2358673429955517E-2</v>
      </c>
      <c r="Z25" s="9">
        <f>IF(Z$22&gt;0,MIN(MAX(SUM(Z$21,Z$55,Z$59),0),Z$22)*'Fiscal Model Import'!AK44,0)</f>
        <v>6.2105196453103903E-2</v>
      </c>
      <c r="AA25" s="9">
        <f>IF(AA$22&gt;0,MIN(MAX(SUM(AA$21,AA$55,AA$59),0),AA$22)*'Fiscal Model Import'!AL44,0)</f>
        <v>7.085482158466401E-2</v>
      </c>
    </row>
    <row r="26" spans="1:27" x14ac:dyDescent="0.25">
      <c r="A26" s="26" t="s">
        <v>328</v>
      </c>
      <c r="B26" s="36"/>
      <c r="C26" s="30"/>
      <c r="D26" s="9">
        <f t="shared" ref="D26:O26" si="8">IF(D25=0,C42*D22,0)</f>
        <v>0</v>
      </c>
      <c r="E26" s="9">
        <f t="shared" si="8"/>
        <v>0</v>
      </c>
      <c r="F26" s="9">
        <f t="shared" si="8"/>
        <v>0</v>
      </c>
      <c r="G26" s="9">
        <f t="shared" si="8"/>
        <v>0</v>
      </c>
      <c r="H26" s="9">
        <f t="shared" si="8"/>
        <v>0</v>
      </c>
      <c r="I26" s="9">
        <f t="shared" si="8"/>
        <v>0</v>
      </c>
      <c r="J26" s="9">
        <f t="shared" si="8"/>
        <v>0</v>
      </c>
      <c r="K26" s="9">
        <f t="shared" si="8"/>
        <v>0</v>
      </c>
      <c r="L26" s="9">
        <f t="shared" si="8"/>
        <v>0</v>
      </c>
      <c r="M26" s="9">
        <f t="shared" si="8"/>
        <v>0</v>
      </c>
      <c r="N26" s="9">
        <f t="shared" si="8"/>
        <v>0</v>
      </c>
      <c r="O26" s="9">
        <f t="shared" si="8"/>
        <v>0</v>
      </c>
      <c r="P26" s="9">
        <f>IF(P25=0,O42*P22,0)</f>
        <v>0</v>
      </c>
      <c r="Q26" s="9">
        <f t="shared" ref="Q26:AA26" si="9">IF(Q25=0,P42*Q22,0)</f>
        <v>0</v>
      </c>
      <c r="R26" s="9">
        <f t="shared" si="9"/>
        <v>0</v>
      </c>
      <c r="S26" s="9">
        <f t="shared" si="9"/>
        <v>0</v>
      </c>
      <c r="T26" s="9">
        <f t="shared" si="9"/>
        <v>0</v>
      </c>
      <c r="U26" s="9">
        <f t="shared" si="9"/>
        <v>0</v>
      </c>
      <c r="V26" s="9">
        <f t="shared" si="9"/>
        <v>0</v>
      </c>
      <c r="W26" s="9">
        <f t="shared" si="9"/>
        <v>0</v>
      </c>
      <c r="X26" s="9">
        <f t="shared" si="9"/>
        <v>0</v>
      </c>
      <c r="Y26" s="9">
        <f t="shared" si="9"/>
        <v>0</v>
      </c>
      <c r="Z26" s="9">
        <f t="shared" si="9"/>
        <v>0</v>
      </c>
      <c r="AA26" s="9">
        <f t="shared" si="9"/>
        <v>0</v>
      </c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257</v>
      </c>
      <c r="B28" s="36" t="s">
        <v>258</v>
      </c>
      <c r="C28" s="30"/>
      <c r="D28" s="9">
        <f>SUM(D25:D27)</f>
        <v>0</v>
      </c>
      <c r="E28" s="9">
        <f t="shared" ref="E28:W28" si="10">SUM(E25:E27)</f>
        <v>0</v>
      </c>
      <c r="F28" s="9">
        <f t="shared" si="10"/>
        <v>0</v>
      </c>
      <c r="G28" s="9">
        <f t="shared" si="10"/>
        <v>0</v>
      </c>
      <c r="H28" s="9">
        <f t="shared" si="10"/>
        <v>0.23869823163698312</v>
      </c>
      <c r="I28" s="9">
        <f t="shared" si="10"/>
        <v>0.35347789510589317</v>
      </c>
      <c r="J28" s="9">
        <f t="shared" si="10"/>
        <v>0.40962560842993789</v>
      </c>
      <c r="K28" s="9">
        <f>SUM(K25:K27)</f>
        <v>0.43805401119935894</v>
      </c>
      <c r="L28" s="9">
        <f t="shared" si="10"/>
        <v>0.21465966142459725</v>
      </c>
      <c r="M28" s="9">
        <f>SUM(M25:M27)</f>
        <v>0.10907254475515898</v>
      </c>
      <c r="N28" s="9">
        <f t="shared" si="10"/>
        <v>5.9139393851128597E-2</v>
      </c>
      <c r="O28" s="9">
        <f t="shared" si="10"/>
        <v>3.5577388004688348E-2</v>
      </c>
      <c r="P28" s="9">
        <f t="shared" si="10"/>
        <v>7.1978283207301916E-2</v>
      </c>
      <c r="Q28" s="9">
        <f t="shared" si="10"/>
        <v>0.11221698747916968</v>
      </c>
      <c r="R28" s="9">
        <f t="shared" si="10"/>
        <v>0.14264562308946224</v>
      </c>
      <c r="S28" s="9">
        <f t="shared" si="10"/>
        <v>0.16292039900659172</v>
      </c>
      <c r="T28" s="9">
        <f t="shared" si="10"/>
        <v>0.12826806506901489</v>
      </c>
      <c r="U28" s="9">
        <f t="shared" si="10"/>
        <v>9.0960307241408425E-2</v>
      </c>
      <c r="V28" s="9">
        <f t="shared" si="10"/>
        <v>6.3443128304587232E-2</v>
      </c>
      <c r="W28" s="9">
        <f t="shared" si="10"/>
        <v>4.5798503280637302E-2</v>
      </c>
      <c r="X28" s="9">
        <f t="shared" ref="X28:AA28" si="11">SUM(X25:X27)</f>
        <v>4.4759798733565399E-2</v>
      </c>
      <c r="Y28" s="9">
        <f t="shared" si="11"/>
        <v>5.2358673429955517E-2</v>
      </c>
      <c r="Z28" s="9">
        <f t="shared" si="11"/>
        <v>6.2105196453103903E-2</v>
      </c>
      <c r="AA28" s="9">
        <f t="shared" si="11"/>
        <v>7.085482158466401E-2</v>
      </c>
    </row>
    <row r="29" spans="1:27" ht="26.25" x14ac:dyDescent="0.2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0.10015310418334955</v>
      </c>
      <c r="I29" s="60">
        <f>IF(I22&gt;0,MIN(I22,MAX(0,SUM(I$21,I$55,I$59)))*'Fiscal Model Import'!T38,0)</f>
        <v>0.14831240354093417</v>
      </c>
      <c r="J29" s="60">
        <f>IF(J22&gt;0,MIN(J22,MAX(0,SUM(J$21,J$55,J$59)))*'Fiscal Model Import'!U38,0)</f>
        <v>0.17187088465591796</v>
      </c>
      <c r="K29" s="60">
        <f>IF(K22&gt;0,MIN(K22,MAX(0,SUM(K$21,K$55,K$59)))*'Fiscal Model Import'!V38,0)</f>
        <v>0.18379888581791282</v>
      </c>
      <c r="L29" s="60">
        <f>IF(L22&gt;0,MIN(L22,MAX(0,SUM(L$21,L$55,L$59)))*'Fiscal Model Import'!W38,0)</f>
        <v>9.0066990807523312E-2</v>
      </c>
      <c r="M29" s="60">
        <f>IF(M22&gt;0,MIN(M22,MAX(0,SUM(M$21,M$55,M$59)))*'Fiscal Model Import'!X38,0)</f>
        <v>4.5764704093073698E-2</v>
      </c>
      <c r="N29" s="60">
        <f>IF(N22&gt;0,MIN(N22,MAX(0,SUM(N$21,N$55,N$59)))*'Fiscal Model Import'!Y38,0)</f>
        <v>2.481373168578822E-2</v>
      </c>
      <c r="O29" s="60">
        <f>IF(O22&gt;0,MIN(O22,MAX(0,SUM(O$21,O$55,O$59)))*'Fiscal Model Import'!Z38,0)</f>
        <v>1.4927575386582521E-2</v>
      </c>
      <c r="P29" s="60">
        <f>IF(P22&gt;0,MIN(P22,MAX(0,SUM(P$21,P$55,P$59)))*'Fiscal Model Import'!AA38,0)</f>
        <v>3.0200678268797999E-2</v>
      </c>
      <c r="Q29" s="60">
        <f>IF(Q22&gt;0,MIN(Q22,MAX(0,SUM(Q$21,Q$55,Q$59)))*'Fiscal Model Import'!AB38,0)</f>
        <v>4.7084050690560701E-2</v>
      </c>
      <c r="R29" s="60">
        <f>IF(R22&gt;0,MIN(R22,MAX(0,SUM(R$21,R$55,R$59)))*'Fiscal Model Import'!AC38,0)</f>
        <v>5.9851310387186947E-2</v>
      </c>
      <c r="S29" s="60">
        <f>IF(S22&gt;0,MIN(S22,MAX(0,SUM(S$21,S$55,S$59)))*'Fiscal Model Import'!AD38,0)</f>
        <v>6.835820937339511E-2</v>
      </c>
      <c r="T29" s="60">
        <f>IF(T22&gt;0,MIN(T22,MAX(0,SUM(T$21,T$55,T$59)))*'Fiscal Model Import'!AE38,0)</f>
        <v>5.3818768560425827E-2</v>
      </c>
      <c r="U29" s="60">
        <f>IF(U22&gt;0,MIN(U22,MAX(0,SUM(U$21,U$55,U$59)))*'Fiscal Model Import'!AF38,0)</f>
        <v>3.8165163877514022E-2</v>
      </c>
      <c r="V29" s="60">
        <f>IF(V22&gt;0,MIN(V22,MAX(0,SUM(V$21,V$55,V$59)))*'Fiscal Model Import'!AG38,0)</f>
        <v>2.6619494393533102E-2</v>
      </c>
      <c r="W29" s="60">
        <f>IF(W22&gt;0,MIN(W22,MAX(0,SUM(W$21,W$55,W$59)))*'Fiscal Model Import'!AH38,0)</f>
        <v>1.9216155222645023E-2</v>
      </c>
      <c r="X29" s="60">
        <f>IF(X22&gt;0,MIN(X22,MAX(0,SUM(X$21,X$55,X$59)))*'Fiscal Model Import'!AI38,0)</f>
        <v>1.8780335132964499E-2</v>
      </c>
      <c r="Y29" s="60">
        <f>IF(Y22&gt;0,MIN(Y22,MAX(0,SUM(Y$21,Y$55,Y$59)))*'Fiscal Model Import'!AJ38,0)</f>
        <v>2.19686741664149E-2</v>
      </c>
      <c r="Z29" s="60">
        <f>IF(Z22&gt;0,MIN(Z22,MAX(0,SUM(Z$21,Z$55,Z$59)))*'Fiscal Model Import'!AK38,0)</f>
        <v>2.605812438591772E-2</v>
      </c>
      <c r="AA29" s="60">
        <f>IF(AA22&gt;0,MIN(AA22,MAX(0,SUM(AA$21,AA$55,AA$59)))*'Fiscal Model Import'!AL38,0)</f>
        <v>2.9729295769789093E-2</v>
      </c>
    </row>
    <row r="30" spans="1:27" ht="26.25" x14ac:dyDescent="0.2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25" x14ac:dyDescent="0.2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7.0107172928344674E-2</v>
      </c>
      <c r="I31" s="60">
        <f>IF(I22&gt;0,MIN(I22,MAX(SUM(I$21,I$55,I$59),0))*'Fiscal Model Import'!T40,0)</f>
        <v>0.10381868247865392</v>
      </c>
      <c r="J31" s="60">
        <f>IF(J22&gt;0,MIN(J22,MAX(SUM(J$21,J$55,J$59),0))*'Fiscal Model Import'!U40,0)</f>
        <v>0.12030961925914258</v>
      </c>
      <c r="K31" s="60">
        <f>IF(K22&gt;0,MIN(K22,MAX(SUM(K$21,K$55,K$59),0))*'Fiscal Model Import'!V40,0)</f>
        <v>0.12865922007253897</v>
      </c>
      <c r="L31" s="60">
        <f>IF(L22&gt;0,MIN(L22,MAX(SUM(L$21,L$55,L$59),0))*'Fiscal Model Import'!W40,0)</f>
        <v>6.3046893565266313E-2</v>
      </c>
      <c r="M31" s="60">
        <f>IF(M22&gt;0,MIN(M22,MAX(SUM(M$21,M$55,M$59),0))*'Fiscal Model Import'!X40,0)</f>
        <v>3.2035292865151589E-2</v>
      </c>
      <c r="N31" s="60">
        <f>IF(N22&gt;0,MIN(N22,MAX(SUM(N$21,N$55,N$59),0))*'Fiscal Model Import'!Y40,0)</f>
        <v>1.7369612180051751E-2</v>
      </c>
      <c r="O31" s="60">
        <f>IF(O22&gt;0,MIN(O22,MAX(SUM(O$21,O$55,O$59),0))*'Fiscal Model Import'!Z40,0)</f>
        <v>1.0449302770607764E-2</v>
      </c>
      <c r="P31" s="60">
        <f>IF(P22&gt;0,MIN(P22,MAX(SUM(P$21,P$55,P$59),0))*'Fiscal Model Import'!AA40,0)</f>
        <v>2.11404747881586E-2</v>
      </c>
      <c r="Q31" s="60">
        <f>IF(Q22&gt;0,MIN(Q22,MAX(SUM(Q$21,Q$55,Q$59),0))*'Fiscal Model Import'!AB40,0)</f>
        <v>3.2958835483392485E-2</v>
      </c>
      <c r="R31" s="60">
        <f>IF(R22&gt;0,MIN(R22,MAX(SUM(R$21,R$55,R$59),0))*'Fiscal Model Import'!AC40,0)</f>
        <v>4.1895917271030855E-2</v>
      </c>
      <c r="S31" s="60">
        <f>IF(S22&gt;0,MIN(S22,MAX(SUM(S$21,S$55,S$59),0))*'Fiscal Model Import'!AD40,0)</f>
        <v>4.7850746561376577E-2</v>
      </c>
      <c r="T31" s="60">
        <f>IF(T22&gt;0,MIN(T22,MAX(SUM(T$21,T$55,T$59),0))*'Fiscal Model Import'!AE40,0)</f>
        <v>3.7673137992298072E-2</v>
      </c>
      <c r="U31" s="60">
        <f>IF(U22&gt;0,MIN(U22,MAX(SUM(U$21,U$55,U$59),0))*'Fiscal Model Import'!AF40,0)</f>
        <v>2.6715614714259813E-2</v>
      </c>
      <c r="V31" s="60">
        <f>IF(V22&gt;0,MIN(V22,MAX(SUM(V$21,V$55,V$59),0))*'Fiscal Model Import'!AG40,0)</f>
        <v>1.863364607547317E-2</v>
      </c>
      <c r="W31" s="60">
        <f>IF(W22&gt;0,MIN(W22,MAX(SUM(W$21,W$55,W$59),0))*'Fiscal Model Import'!AH40,0)</f>
        <v>1.3451308655851514E-2</v>
      </c>
      <c r="X31" s="60">
        <f>IF(X22&gt;0,MIN(X22,MAX(SUM(X$21,X$55,X$59),0))*'Fiscal Model Import'!AI40,0)</f>
        <v>1.3146234593075149E-2</v>
      </c>
      <c r="Y31" s="60">
        <f>IF(Y22&gt;0,MIN(Y22,MAX(SUM(Y$21,Y$55,Y$59),0))*'Fiscal Model Import'!AJ40,0)</f>
        <v>1.5378071916490431E-2</v>
      </c>
      <c r="Z31" s="60">
        <f>IF(Z22&gt;0,MIN(Z22,MAX(SUM(Z$21,Z$55,Z$59),0))*'Fiscal Model Import'!AK40,0)</f>
        <v>1.8240687070142401E-2</v>
      </c>
      <c r="AA31" s="60">
        <f>IF(AA22&gt;0,MIN(AA22,MAX(SUM(AA$21,AA$55,AA$59),0))*'Fiscal Model Import'!AL40,0)</f>
        <v>2.0810507038852361E-2</v>
      </c>
    </row>
    <row r="32" spans="1:27" ht="26.25" x14ac:dyDescent="0.2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9.4310839772654156E-2</v>
      </c>
      <c r="I32" s="60">
        <f>IF(I22&gt;0,MIN(I22,MAX(0,SUM(I21,I55,I59)))*'Fiscal Model Import'!T36,0)</f>
        <v>0.139660846667713</v>
      </c>
      <c r="J32" s="60">
        <f>IF(J22&gt;0,MIN(J22,MAX(0,SUM(J21,J55,J59)))*'Fiscal Model Import'!U36,0)</f>
        <v>0.16184508305098941</v>
      </c>
      <c r="K32" s="60">
        <f>IF(K22&gt;0,MIN(K22,MAX(0,SUM(K21,K55,K59)))*'Fiscal Model Import'!V36,0)</f>
        <v>0.17307728414520124</v>
      </c>
      <c r="L32" s="60">
        <f>IF(L22&gt;0,MIN(L22,MAX(0,SUM(L21,L55,L59)))*'Fiscal Model Import'!W36,0)</f>
        <v>8.4813083010417789E-2</v>
      </c>
      <c r="M32" s="60">
        <f>IF(M22&gt;0,MIN(M22,MAX(0,SUM(M21,M55,M59)))*'Fiscal Model Import'!X36,0)</f>
        <v>4.3095096354311066E-2</v>
      </c>
      <c r="N32" s="60">
        <f>IF(N22&gt;0,MIN(N22,MAX(0,SUM(N21,N55,N59)))*'Fiscal Model Import'!Y36,0)</f>
        <v>2.3366264004117239E-2</v>
      </c>
      <c r="O32" s="60">
        <f>IF(O22&gt;0,MIN(O22,MAX(0,SUM(O21,O55,O59)))*'Fiscal Model Import'!Z36,0)</f>
        <v>1.405680015569854E-2</v>
      </c>
      <c r="P32" s="60">
        <f>IF(P22&gt;0,MIN(P22,MAX(0,SUM(P21,P55,P59)))*'Fiscal Model Import'!AA36,0)</f>
        <v>2.8438972036451449E-2</v>
      </c>
      <c r="Q32" s="60">
        <f>IF(Q22&gt;0,MIN(Q22,MAX(0,SUM(Q21,Q55,Q59)))*'Fiscal Model Import'!AB36,0)</f>
        <v>4.4337481066944656E-2</v>
      </c>
      <c r="R32" s="60">
        <f>IF(R22&gt;0,MIN(R22,MAX(0,SUM(R21,R55,R59)))*'Fiscal Model Import'!AC36,0)</f>
        <v>5.6359983947934372E-2</v>
      </c>
      <c r="S32" s="60">
        <f>IF(S22&gt;0,MIN(S22,MAX(0,SUM(S21,S55,S59)))*'Fiscal Model Import'!AD36,0)</f>
        <v>6.4370647159947073E-2</v>
      </c>
      <c r="T32" s="60">
        <f>IF(T22&gt;0,MIN(T22,MAX(0,SUM(T21,T55,T59)))*'Fiscal Model Import'!AE36,0)</f>
        <v>5.0679340394400987E-2</v>
      </c>
      <c r="U32" s="60">
        <f>IF(U22&gt;0,MIN(U22,MAX(0,SUM(U21,U55,U59)))*'Fiscal Model Import'!AF36,0)</f>
        <v>3.5938862651325704E-2</v>
      </c>
      <c r="V32" s="60">
        <f>IF(V22&gt;0,MIN(V22,MAX(0,SUM(V21,V55,V59)))*'Fiscal Model Import'!AG36,0)</f>
        <v>2.5066690553910337E-2</v>
      </c>
      <c r="W32" s="60">
        <f>IF(W22&gt;0,MIN(W22,MAX(0,SUM(W21,W55,W59)))*'Fiscal Model Import'!AH36,0)</f>
        <v>1.8095212834657395E-2</v>
      </c>
      <c r="X32" s="60">
        <f>IF(X22&gt;0,MIN(X22,MAX(0,SUM(X21,X55,X59)))*'Fiscal Model Import'!AI36,0)</f>
        <v>1.7684815583541572E-2</v>
      </c>
      <c r="Y32" s="60">
        <f>IF(Y22&gt;0,MIN(Y22,MAX(0,SUM(Y21,Y55,Y59)))*'Fiscal Model Import'!AJ36,0)</f>
        <v>2.0687168173374033E-2</v>
      </c>
      <c r="Z32" s="60">
        <f>IF(Z22&gt;0,MIN(Z22,MAX(0,SUM(Z21,Z55,Z59)))*'Fiscal Model Import'!AK36,0)</f>
        <v>2.4538067130072519E-2</v>
      </c>
      <c r="AA32" s="60">
        <f>IF(AA22&gt;0,MIN(AA22,MAX(0,SUM(AA21,AA55,AA59)))*'Fiscal Model Import'!AL36,0)</f>
        <v>2.7995086849884727E-2</v>
      </c>
    </row>
    <row r="33" spans="1:27" x14ac:dyDescent="0.25">
      <c r="A33" s="7" t="s">
        <v>260</v>
      </c>
      <c r="B33" s="36" t="s">
        <v>262</v>
      </c>
      <c r="C33" s="30"/>
      <c r="D33" s="60">
        <f>D25</f>
        <v>0</v>
      </c>
      <c r="E33" s="60">
        <f>IF(AND(E$22&gt;0,E$21+E$55+E$59&gt;0),D33+E28-E52,E$22*D42)</f>
        <v>0</v>
      </c>
      <c r="F33" s="60">
        <f t="shared" ref="F33:I33" si="12">IF(AND(F$22&gt;0,F$21+F$55+F$59&gt;0),E33+F28-F52,F$22*E42)</f>
        <v>0</v>
      </c>
      <c r="G33" s="60">
        <f t="shared" si="12"/>
        <v>0</v>
      </c>
      <c r="H33" s="60">
        <f t="shared" si="12"/>
        <v>0.23869823163698312</v>
      </c>
      <c r="I33" s="60">
        <f t="shared" si="12"/>
        <v>0.35347789510589311</v>
      </c>
      <c r="J33" s="60">
        <f>IF(AND(J$22&gt;0,J$21+J$55+J$59&gt;0),I33+J28-J52,J$22*I42)</f>
        <v>0.40962560842993789</v>
      </c>
      <c r="K33" s="60">
        <f>IF(AND(K$22&gt;0,K$21+K$55+K$59&gt;0),J33+K28-K52,K$22*J42)</f>
        <v>0.43805401119935894</v>
      </c>
      <c r="L33" s="60">
        <f t="shared" ref="L33:AA33" si="13">IF(AND(L$22&gt;0,L$21+L$55+L$59&gt;0),K33+L28-L52,L$22*K42)</f>
        <v>0.21465966142459725</v>
      </c>
      <c r="M33" s="60">
        <f t="shared" si="13"/>
        <v>0.10907254475515898</v>
      </c>
      <c r="N33" s="60">
        <f t="shared" si="13"/>
        <v>5.9139393851128597E-2</v>
      </c>
      <c r="O33" s="60">
        <f t="shared" si="13"/>
        <v>3.5577388004688348E-2</v>
      </c>
      <c r="P33" s="60">
        <f>IF(AND(P$22&gt;0,P$21+P$55+P$59&gt;0),O33+P28-P52,P$22*O42)</f>
        <v>7.1978283207301916E-2</v>
      </c>
      <c r="Q33" s="60">
        <f t="shared" si="13"/>
        <v>0.11221698747916968</v>
      </c>
      <c r="R33" s="60">
        <f t="shared" si="13"/>
        <v>0.14264562308946221</v>
      </c>
      <c r="S33" s="60">
        <f t="shared" si="13"/>
        <v>0.16292039900659172</v>
      </c>
      <c r="T33" s="60">
        <f t="shared" si="13"/>
        <v>0.12826806506901489</v>
      </c>
      <c r="U33" s="60">
        <f t="shared" si="13"/>
        <v>9.0960307241408411E-2</v>
      </c>
      <c r="V33" s="60">
        <f t="shared" si="13"/>
        <v>6.3443128304587232E-2</v>
      </c>
      <c r="W33" s="60">
        <f t="shared" si="13"/>
        <v>4.5798503280637309E-2</v>
      </c>
      <c r="X33" s="60">
        <f t="shared" si="13"/>
        <v>4.4759798733565392E-2</v>
      </c>
      <c r="Y33" s="60">
        <f t="shared" si="13"/>
        <v>5.235867342995551E-2</v>
      </c>
      <c r="Z33" s="60">
        <f t="shared" si="13"/>
        <v>6.2105196453103903E-2</v>
      </c>
      <c r="AA33" s="60">
        <f t="shared" si="13"/>
        <v>7.085482158466401E-2</v>
      </c>
    </row>
    <row r="34" spans="1:27" x14ac:dyDescent="0.2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2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25">
      <c r="A36" s="26" t="s">
        <v>263</v>
      </c>
      <c r="B36" s="36" t="s">
        <v>264</v>
      </c>
      <c r="C36" s="30"/>
      <c r="D36" s="9">
        <f>SUM(D33:D35)</f>
        <v>0</v>
      </c>
      <c r="E36" s="9">
        <f>SUM(E33:E35)</f>
        <v>0</v>
      </c>
      <c r="F36" s="9">
        <f t="shared" ref="F36:W36" si="14">SUM(F33:F35)</f>
        <v>0</v>
      </c>
      <c r="G36" s="9">
        <f t="shared" si="14"/>
        <v>0</v>
      </c>
      <c r="H36" s="9">
        <f t="shared" si="14"/>
        <v>0.23869823163698312</v>
      </c>
      <c r="I36" s="9">
        <f t="shared" si="14"/>
        <v>0.35347789510589311</v>
      </c>
      <c r="J36" s="9">
        <f t="shared" si="14"/>
        <v>0.40962560842993789</v>
      </c>
      <c r="K36" s="9">
        <f t="shared" si="14"/>
        <v>0.43805401119935894</v>
      </c>
      <c r="L36" s="9">
        <f>SUM(L33:L35)</f>
        <v>0.21465966142459725</v>
      </c>
      <c r="M36" s="9">
        <f t="shared" si="14"/>
        <v>0.10907254475515898</v>
      </c>
      <c r="N36" s="9">
        <f t="shared" si="14"/>
        <v>5.9139393851128597E-2</v>
      </c>
      <c r="O36" s="9">
        <f t="shared" si="14"/>
        <v>3.5577388004688348E-2</v>
      </c>
      <c r="P36" s="9">
        <f t="shared" si="14"/>
        <v>7.1978283207301916E-2</v>
      </c>
      <c r="Q36" s="9">
        <f t="shared" si="14"/>
        <v>0.11221698747916968</v>
      </c>
      <c r="R36" s="9">
        <f t="shared" si="14"/>
        <v>0.14264562308946221</v>
      </c>
      <c r="S36" s="9">
        <f t="shared" si="14"/>
        <v>0.16292039900659172</v>
      </c>
      <c r="T36" s="9">
        <f t="shared" si="14"/>
        <v>0.12826806506901489</v>
      </c>
      <c r="U36" s="9">
        <f t="shared" si="14"/>
        <v>9.0960307241408411E-2</v>
      </c>
      <c r="V36" s="9">
        <f t="shared" si="14"/>
        <v>6.3443128304587232E-2</v>
      </c>
      <c r="W36" s="9">
        <f t="shared" si="14"/>
        <v>4.5798503280637309E-2</v>
      </c>
      <c r="X36" s="9">
        <f t="shared" ref="X36:AA36" si="15">SUM(X33:X35)</f>
        <v>4.4759798733565392E-2</v>
      </c>
      <c r="Y36" s="9">
        <f t="shared" si="15"/>
        <v>5.235867342995551E-2</v>
      </c>
      <c r="Z36" s="9">
        <f t="shared" si="15"/>
        <v>6.2105196453103903E-2</v>
      </c>
      <c r="AA36" s="9">
        <f t="shared" si="15"/>
        <v>7.085482158466401E-2</v>
      </c>
    </row>
    <row r="37" spans="1:27" ht="26.25" x14ac:dyDescent="0.25">
      <c r="A37" s="26" t="s">
        <v>242</v>
      </c>
      <c r="B37" s="36" t="s">
        <v>259</v>
      </c>
      <c r="C37" s="30"/>
      <c r="D37" s="60">
        <f>D29</f>
        <v>0</v>
      </c>
      <c r="E37" s="60">
        <f t="shared" ref="E37:AA37" si="16">IF(AND(E$22&gt;0,E$21+E$55+E$59&gt;0),D37+E29-E56,E$22*D46)</f>
        <v>0</v>
      </c>
      <c r="F37" s="60">
        <f t="shared" si="16"/>
        <v>0</v>
      </c>
      <c r="G37" s="60">
        <f t="shared" si="16"/>
        <v>0</v>
      </c>
      <c r="H37" s="60">
        <f t="shared" si="16"/>
        <v>0.10015310418334955</v>
      </c>
      <c r="I37" s="60">
        <f>IF(AND(I$22&gt;0,I$21+I$55+I$59&gt;0),H37+I29-I56,I$22*H46)</f>
        <v>0.24846550772428372</v>
      </c>
      <c r="J37" s="60">
        <f t="shared" si="16"/>
        <v>0.42033639238020171</v>
      </c>
      <c r="K37" s="60">
        <f t="shared" si="16"/>
        <v>0.60413527819811452</v>
      </c>
      <c r="L37" s="60">
        <f>IF(AND(L$22&gt;0,L$21+L$55+L$59&gt;0),K37+L29-L56,L$22*K46)</f>
        <v>0.69420226900563786</v>
      </c>
      <c r="M37" s="60">
        <f t="shared" si="16"/>
        <v>0.73996697309871151</v>
      </c>
      <c r="N37" s="60">
        <f t="shared" si="16"/>
        <v>0.76478070478449978</v>
      </c>
      <c r="O37" s="60">
        <f t="shared" si="16"/>
        <v>0.77970828017108229</v>
      </c>
      <c r="P37" s="60">
        <f>IF(AND(P$22&gt;0,P$21+P$55+P$59&gt;0),O37+P29-P56,P$22*O46)</f>
        <v>0.70975585425653076</v>
      </c>
      <c r="Q37" s="60">
        <f t="shared" si="16"/>
        <v>0.6085275014061573</v>
      </c>
      <c r="R37" s="60">
        <f t="shared" si="16"/>
        <v>0.49650792713742631</v>
      </c>
      <c r="S37" s="60">
        <f t="shared" si="16"/>
        <v>0.38106725069290859</v>
      </c>
      <c r="T37" s="60">
        <f t="shared" si="16"/>
        <v>0.34481902844581114</v>
      </c>
      <c r="U37" s="60">
        <f t="shared" si="16"/>
        <v>0.33721948823025144</v>
      </c>
      <c r="V37" s="60">
        <f t="shared" si="16"/>
        <v>0.33902525093799635</v>
      </c>
      <c r="W37" s="60">
        <f t="shared" si="16"/>
        <v>0.34331383077405886</v>
      </c>
      <c r="X37" s="60">
        <f t="shared" si="16"/>
        <v>0.33189348763822535</v>
      </c>
      <c r="Y37" s="60">
        <f t="shared" si="16"/>
        <v>0.30677811111407954</v>
      </c>
      <c r="Z37" s="60">
        <f t="shared" si="16"/>
        <v>0.27298492511281031</v>
      </c>
      <c r="AA37" s="60">
        <f t="shared" si="16"/>
        <v>0.23435601150920432</v>
      </c>
    </row>
    <row r="38" spans="1:27" ht="26.25" x14ac:dyDescent="0.25">
      <c r="A38" s="26" t="s">
        <v>243</v>
      </c>
      <c r="B38" s="36" t="s">
        <v>259</v>
      </c>
      <c r="C38" s="30"/>
      <c r="D38" s="60">
        <f>D30</f>
        <v>0</v>
      </c>
      <c r="E38" s="60">
        <f t="shared" ref="E38:AA38" si="17">IF(AND(E$22&gt;0,E$21+E$55+E$59&gt;0),D38+E30-E57,E$22*D47)</f>
        <v>0</v>
      </c>
      <c r="F38" s="60">
        <f t="shared" si="17"/>
        <v>0</v>
      </c>
      <c r="G38" s="60">
        <f t="shared" si="17"/>
        <v>0</v>
      </c>
      <c r="H38" s="60">
        <f t="shared" si="17"/>
        <v>0</v>
      </c>
      <c r="I38" s="60">
        <f t="shared" si="17"/>
        <v>0</v>
      </c>
      <c r="J38" s="60">
        <f t="shared" si="17"/>
        <v>0</v>
      </c>
      <c r="K38" s="60">
        <f t="shared" si="17"/>
        <v>0</v>
      </c>
      <c r="L38" s="60">
        <f t="shared" si="17"/>
        <v>0</v>
      </c>
      <c r="M38" s="60">
        <f t="shared" si="17"/>
        <v>0</v>
      </c>
      <c r="N38" s="60">
        <f t="shared" si="17"/>
        <v>0</v>
      </c>
      <c r="O38" s="60">
        <f t="shared" si="17"/>
        <v>0</v>
      </c>
      <c r="P38" s="60">
        <f t="shared" si="17"/>
        <v>0</v>
      </c>
      <c r="Q38" s="60">
        <f t="shared" si="17"/>
        <v>0</v>
      </c>
      <c r="R38" s="60">
        <f t="shared" si="17"/>
        <v>0</v>
      </c>
      <c r="S38" s="60">
        <f t="shared" si="17"/>
        <v>0</v>
      </c>
      <c r="T38" s="60">
        <f t="shared" si="17"/>
        <v>0</v>
      </c>
      <c r="U38" s="60">
        <f t="shared" si="17"/>
        <v>0</v>
      </c>
      <c r="V38" s="60">
        <f t="shared" si="17"/>
        <v>0</v>
      </c>
      <c r="W38" s="60">
        <f t="shared" si="17"/>
        <v>0</v>
      </c>
      <c r="X38" s="60">
        <f t="shared" si="17"/>
        <v>0</v>
      </c>
      <c r="Y38" s="60">
        <f t="shared" si="17"/>
        <v>0</v>
      </c>
      <c r="Z38" s="60">
        <f t="shared" si="17"/>
        <v>0</v>
      </c>
      <c r="AA38" s="60">
        <f t="shared" si="17"/>
        <v>0</v>
      </c>
    </row>
    <row r="39" spans="1:27" ht="26.25" x14ac:dyDescent="0.25">
      <c r="A39" s="7" t="s">
        <v>244</v>
      </c>
      <c r="B39" s="36" t="s">
        <v>259</v>
      </c>
      <c r="C39" s="30"/>
      <c r="D39" s="60">
        <f>D31</f>
        <v>0</v>
      </c>
      <c r="E39" s="60">
        <f t="shared" ref="E39:AA39" si="18">IF(AND(E$22&gt;0,E$21+E$55+E$59&gt;0),D39+E31-E58,E$22*D48)</f>
        <v>0</v>
      </c>
      <c r="F39" s="60">
        <f t="shared" si="18"/>
        <v>0</v>
      </c>
      <c r="G39" s="60">
        <f t="shared" si="18"/>
        <v>0</v>
      </c>
      <c r="H39" s="60">
        <f t="shared" si="18"/>
        <v>7.0107172928344674E-2</v>
      </c>
      <c r="I39" s="60">
        <f t="shared" si="18"/>
        <v>0.17392585540699859</v>
      </c>
      <c r="J39" s="60">
        <f t="shared" si="18"/>
        <v>0.29423547466614119</v>
      </c>
      <c r="K39" s="60">
        <f t="shared" si="18"/>
        <v>0.42289469473868013</v>
      </c>
      <c r="L39" s="60">
        <f t="shared" si="18"/>
        <v>0.48594158830394646</v>
      </c>
      <c r="M39" s="60">
        <f t="shared" si="18"/>
        <v>0.51797688116909801</v>
      </c>
      <c r="N39" s="60">
        <f t="shared" si="18"/>
        <v>0.53534649334914974</v>
      </c>
      <c r="O39" s="60">
        <f t="shared" si="18"/>
        <v>0.54579579611975748</v>
      </c>
      <c r="P39" s="60">
        <f t="shared" si="18"/>
        <v>0.5669362709079161</v>
      </c>
      <c r="Q39" s="60">
        <f t="shared" si="18"/>
        <v>0.59989510639130861</v>
      </c>
      <c r="R39" s="60">
        <f t="shared" si="18"/>
        <v>0.64179102366233942</v>
      </c>
      <c r="S39" s="60">
        <f t="shared" si="18"/>
        <v>0.68964177022371598</v>
      </c>
      <c r="T39" s="60">
        <f t="shared" si="18"/>
        <v>0.72731490821601408</v>
      </c>
      <c r="U39" s="60">
        <f t="shared" si="18"/>
        <v>0.75403052293027384</v>
      </c>
      <c r="V39" s="60">
        <f t="shared" si="18"/>
        <v>0.77266416900574697</v>
      </c>
      <c r="W39" s="60">
        <f t="shared" si="18"/>
        <v>0.78611547766159851</v>
      </c>
      <c r="X39" s="60">
        <f t="shared" si="18"/>
        <v>0.79926171225467368</v>
      </c>
      <c r="Y39" s="60">
        <f t="shared" si="18"/>
        <v>0.81463978417116412</v>
      </c>
      <c r="Z39" s="60">
        <f t="shared" si="18"/>
        <v>0.83288047124130649</v>
      </c>
      <c r="AA39" s="60">
        <f t="shared" si="18"/>
        <v>0.85369097828015883</v>
      </c>
    </row>
    <row r="40" spans="1:27" x14ac:dyDescent="0.25">
      <c r="A40" s="7" t="s">
        <v>238</v>
      </c>
      <c r="B40" s="36" t="s">
        <v>232</v>
      </c>
      <c r="C40" s="30"/>
      <c r="D40" s="60">
        <f>SUM(D37:D39)</f>
        <v>0</v>
      </c>
      <c r="E40" s="60">
        <f t="shared" ref="E40:W40" si="19">SUM(E37:E39)</f>
        <v>0</v>
      </c>
      <c r="F40" s="60">
        <f t="shared" si="19"/>
        <v>0</v>
      </c>
      <c r="G40" s="60">
        <f t="shared" si="19"/>
        <v>0</v>
      </c>
      <c r="H40" s="60">
        <f t="shared" si="19"/>
        <v>0.17026027711169422</v>
      </c>
      <c r="I40" s="60">
        <f t="shared" si="19"/>
        <v>0.42239136313128234</v>
      </c>
      <c r="J40" s="60">
        <f t="shared" si="19"/>
        <v>0.7145718670463429</v>
      </c>
      <c r="K40" s="60">
        <f t="shared" si="19"/>
        <v>1.0270299729367947</v>
      </c>
      <c r="L40" s="60">
        <f t="shared" si="19"/>
        <v>1.1801438573095844</v>
      </c>
      <c r="M40" s="60">
        <f t="shared" si="19"/>
        <v>1.2579438542678094</v>
      </c>
      <c r="N40" s="60">
        <f t="shared" si="19"/>
        <v>1.3001271981336495</v>
      </c>
      <c r="O40" s="60">
        <f t="shared" si="19"/>
        <v>1.3255040762908399</v>
      </c>
      <c r="P40" s="60">
        <f t="shared" si="19"/>
        <v>1.276692125164447</v>
      </c>
      <c r="Q40" s="60">
        <f t="shared" si="19"/>
        <v>1.2084226077974658</v>
      </c>
      <c r="R40" s="60">
        <f t="shared" si="19"/>
        <v>1.1382989507997658</v>
      </c>
      <c r="S40" s="60">
        <f t="shared" si="19"/>
        <v>1.0707090209166246</v>
      </c>
      <c r="T40" s="60">
        <f t="shared" si="19"/>
        <v>1.0721339366618252</v>
      </c>
      <c r="U40" s="60">
        <f t="shared" si="19"/>
        <v>1.0912500111605252</v>
      </c>
      <c r="V40" s="60">
        <f t="shared" si="19"/>
        <v>1.1116894199437433</v>
      </c>
      <c r="W40" s="60">
        <f t="shared" si="19"/>
        <v>1.1294293084356575</v>
      </c>
      <c r="X40" s="60">
        <f>SUM(X37:X39)</f>
        <v>1.131155199892899</v>
      </c>
      <c r="Y40" s="60">
        <f t="shared" ref="Y40:AA40" si="20">SUM(Y37:Y39)</f>
        <v>1.1214178952852436</v>
      </c>
      <c r="Z40" s="60">
        <f t="shared" si="20"/>
        <v>1.1058653963541167</v>
      </c>
      <c r="AA40" s="60">
        <f t="shared" si="20"/>
        <v>1.0880469897893632</v>
      </c>
    </row>
    <row r="41" spans="1:27" ht="26.25" x14ac:dyDescent="0.2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21">IF(AND(E$22&gt;0,E$21+E$55+E$59&gt;0),D41+E32,E$22*D49)</f>
        <v>0</v>
      </c>
      <c r="F41" s="60">
        <f t="shared" si="21"/>
        <v>0</v>
      </c>
      <c r="G41" s="60">
        <f t="shared" si="21"/>
        <v>0</v>
      </c>
      <c r="H41" s="60">
        <f t="shared" si="21"/>
        <v>9.4310839772654156E-2</v>
      </c>
      <c r="I41" s="60">
        <f t="shared" si="21"/>
        <v>0.23397168644036714</v>
      </c>
      <c r="J41" s="60">
        <f t="shared" si="21"/>
        <v>0.39581676949135658</v>
      </c>
      <c r="K41" s="60">
        <f t="shared" si="21"/>
        <v>0.56889405363655787</v>
      </c>
      <c r="L41" s="60">
        <f t="shared" si="21"/>
        <v>0.65370713664697566</v>
      </c>
      <c r="M41" s="60">
        <f t="shared" si="21"/>
        <v>0.69680223300128674</v>
      </c>
      <c r="N41" s="60">
        <f t="shared" si="21"/>
        <v>0.72016849700540397</v>
      </c>
      <c r="O41" s="60">
        <f t="shared" si="21"/>
        <v>0.73422529716110252</v>
      </c>
      <c r="P41" s="60">
        <f t="shared" si="21"/>
        <v>0.76266426919755392</v>
      </c>
      <c r="Q41" s="60">
        <f t="shared" si="21"/>
        <v>0.80700175026449861</v>
      </c>
      <c r="R41" s="60">
        <f t="shared" si="21"/>
        <v>0.86336173421243301</v>
      </c>
      <c r="S41" s="60">
        <f t="shared" si="21"/>
        <v>0.92773238137238012</v>
      </c>
      <c r="T41" s="60">
        <f t="shared" si="21"/>
        <v>0.97841172176678115</v>
      </c>
      <c r="U41" s="60">
        <f t="shared" si="21"/>
        <v>1.0143505844181069</v>
      </c>
      <c r="V41" s="60">
        <f t="shared" si="21"/>
        <v>1.0394172749720172</v>
      </c>
      <c r="W41" s="60">
        <f t="shared" si="21"/>
        <v>1.0575124878066746</v>
      </c>
      <c r="X41" s="60">
        <f t="shared" si="21"/>
        <v>1.0751973033902162</v>
      </c>
      <c r="Y41" s="60">
        <f t="shared" si="21"/>
        <v>1.0958844715635903</v>
      </c>
      <c r="Z41" s="60">
        <f t="shared" si="21"/>
        <v>1.1204225386936628</v>
      </c>
      <c r="AA41" s="60">
        <f t="shared" si="21"/>
        <v>1.1484176255435476</v>
      </c>
    </row>
    <row r="42" spans="1:27" x14ac:dyDescent="0.25">
      <c r="A42" s="7" t="s">
        <v>270</v>
      </c>
      <c r="B42" s="36" t="s">
        <v>271</v>
      </c>
      <c r="C42" s="30"/>
      <c r="D42" s="58">
        <f>IF(D$22=0,0,D33/D$22)</f>
        <v>0</v>
      </c>
      <c r="E42" s="58">
        <f t="shared" ref="E42:W42" si="22">IF(E$22=0,0,E33/E$22)</f>
        <v>0</v>
      </c>
      <c r="F42" s="58">
        <f t="shared" si="22"/>
        <v>0</v>
      </c>
      <c r="G42" s="58">
        <f t="shared" si="22"/>
        <v>0</v>
      </c>
      <c r="H42" s="58">
        <f t="shared" si="22"/>
        <v>0.47429519071310117</v>
      </c>
      <c r="I42" s="58">
        <f t="shared" si="22"/>
        <v>0.35003323738152042</v>
      </c>
      <c r="J42" s="58">
        <f t="shared" si="22"/>
        <v>0.26948800630395353</v>
      </c>
      <c r="K42" s="58">
        <f t="shared" si="22"/>
        <v>0.21536811266607669</v>
      </c>
      <c r="L42" s="58">
        <f t="shared" si="22"/>
        <v>0.10478815956398162</v>
      </c>
      <c r="M42" s="58">
        <f t="shared" si="22"/>
        <v>5.2849869200074701E-2</v>
      </c>
      <c r="N42" s="58">
        <f t="shared" si="22"/>
        <v>2.844012499560539E-2</v>
      </c>
      <c r="O42" s="58">
        <f t="shared" si="22"/>
        <v>1.6979560539362459E-2</v>
      </c>
      <c r="P42" s="58">
        <f t="shared" si="22"/>
        <v>3.4091365983799263E-2</v>
      </c>
      <c r="Q42" s="58">
        <f t="shared" si="22"/>
        <v>5.2742435991075816E-2</v>
      </c>
      <c r="R42" s="58">
        <f t="shared" si="22"/>
        <v>6.6522969479927224E-2</v>
      </c>
      <c r="S42" s="58">
        <f t="shared" si="22"/>
        <v>7.5378587198557639E-2</v>
      </c>
      <c r="T42" s="58">
        <f t="shared" si="22"/>
        <v>5.8870597190432528E-2</v>
      </c>
      <c r="U42" s="58">
        <f t="shared" si="22"/>
        <v>4.1410327901507123E-2</v>
      </c>
      <c r="V42" s="58">
        <f t="shared" si="22"/>
        <v>2.8648318335114119E-2</v>
      </c>
      <c r="W42" s="58">
        <f t="shared" si="22"/>
        <v>2.0512239283011227E-2</v>
      </c>
      <c r="X42" s="58">
        <f t="shared" ref="X42:AA42" si="23">IF(X$22=0,0,X33/X$22)</f>
        <v>1.9883414387397238E-2</v>
      </c>
      <c r="Y42" s="58">
        <f t="shared" si="23"/>
        <v>2.3068939590875703E-2</v>
      </c>
      <c r="Z42" s="58">
        <f t="shared" si="23"/>
        <v>2.7139216421424531E-2</v>
      </c>
      <c r="AA42" s="58">
        <f t="shared" si="23"/>
        <v>3.0708717852835032E-2</v>
      </c>
    </row>
    <row r="43" spans="1:27" x14ac:dyDescent="0.2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2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2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2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4">IF(E$22=0,0,E37/E$22)</f>
        <v>0</v>
      </c>
      <c r="F46" s="58">
        <f t="shared" si="24"/>
        <v>0</v>
      </c>
      <c r="G46" s="58">
        <f t="shared" si="24"/>
        <v>0</v>
      </c>
      <c r="H46" s="58">
        <f t="shared" si="24"/>
        <v>0.19900497512437809</v>
      </c>
      <c r="I46" s="58">
        <f t="shared" si="24"/>
        <v>0.24604420036030769</v>
      </c>
      <c r="J46" s="58">
        <f t="shared" si="24"/>
        <v>0.27653450865465479</v>
      </c>
      <c r="K46" s="58">
        <f t="shared" si="24"/>
        <v>0.29702153463744729</v>
      </c>
      <c r="L46" s="58">
        <f t="shared" si="24"/>
        <v>0.33888145379281454</v>
      </c>
      <c r="M46" s="58">
        <f t="shared" si="24"/>
        <v>0.35854263626495597</v>
      </c>
      <c r="N46" s="58">
        <f t="shared" si="24"/>
        <v>0.36778291798273616</v>
      </c>
      <c r="O46" s="58">
        <f t="shared" si="24"/>
        <v>0.37212130200402688</v>
      </c>
      <c r="P46" s="58">
        <f t="shared" si="24"/>
        <v>0.33616454169816651</v>
      </c>
      <c r="Q46" s="58">
        <f t="shared" si="24"/>
        <v>0.2860103760821528</v>
      </c>
      <c r="R46" s="58">
        <f t="shared" si="24"/>
        <v>0.23154710931992792</v>
      </c>
      <c r="S46" s="58">
        <f t="shared" si="24"/>
        <v>0.17630886715240524</v>
      </c>
      <c r="T46" s="58">
        <f t="shared" si="24"/>
        <v>0.15825998557245988</v>
      </c>
      <c r="U46" s="58">
        <f t="shared" si="24"/>
        <v>0.15352157447458631</v>
      </c>
      <c r="V46" s="58">
        <f t="shared" si="24"/>
        <v>0.15308991804257241</v>
      </c>
      <c r="W46" s="58">
        <f t="shared" si="24"/>
        <v>0.15376344075816104</v>
      </c>
      <c r="X46" s="58">
        <f t="shared" ref="X46:AA46" si="25">IF(X$22=0,0,X37/X$22)</f>
        <v>0.14743533112092866</v>
      </c>
      <c r="Y46" s="58">
        <f t="shared" si="25"/>
        <v>0.13516472533554921</v>
      </c>
      <c r="Z46" s="58">
        <f t="shared" si="25"/>
        <v>0.11929109616483081</v>
      </c>
      <c r="AA46" s="58">
        <f t="shared" si="25"/>
        <v>0.10157068317436285</v>
      </c>
    </row>
    <row r="47" spans="1:27" x14ac:dyDescent="0.2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6">IF(E$22=0,0,E38/E$22)</f>
        <v>0</v>
      </c>
      <c r="F47" s="58">
        <f t="shared" si="26"/>
        <v>0</v>
      </c>
      <c r="G47" s="58">
        <f t="shared" si="26"/>
        <v>0</v>
      </c>
      <c r="H47" s="58">
        <f t="shared" si="26"/>
        <v>0</v>
      </c>
      <c r="I47" s="58">
        <f t="shared" si="26"/>
        <v>0</v>
      </c>
      <c r="J47" s="58">
        <f t="shared" si="26"/>
        <v>0</v>
      </c>
      <c r="K47" s="58">
        <f t="shared" si="26"/>
        <v>0</v>
      </c>
      <c r="L47" s="58">
        <f t="shared" si="26"/>
        <v>0</v>
      </c>
      <c r="M47" s="58">
        <f t="shared" si="26"/>
        <v>0</v>
      </c>
      <c r="N47" s="58">
        <f t="shared" si="26"/>
        <v>0</v>
      </c>
      <c r="O47" s="58">
        <f t="shared" si="26"/>
        <v>0</v>
      </c>
      <c r="P47" s="58">
        <f t="shared" si="26"/>
        <v>0</v>
      </c>
      <c r="Q47" s="58">
        <f t="shared" si="26"/>
        <v>0</v>
      </c>
      <c r="R47" s="58">
        <f t="shared" si="26"/>
        <v>0</v>
      </c>
      <c r="S47" s="58">
        <f t="shared" si="26"/>
        <v>0</v>
      </c>
      <c r="T47" s="58">
        <f t="shared" si="26"/>
        <v>0</v>
      </c>
      <c r="U47" s="58">
        <f t="shared" si="26"/>
        <v>0</v>
      </c>
      <c r="V47" s="58">
        <f t="shared" si="26"/>
        <v>0</v>
      </c>
      <c r="W47" s="58">
        <f t="shared" si="26"/>
        <v>0</v>
      </c>
      <c r="X47" s="58">
        <f t="shared" ref="X47:AA47" si="27">IF(X$22=0,0,X38/X$22)</f>
        <v>0</v>
      </c>
      <c r="Y47" s="58">
        <f t="shared" si="27"/>
        <v>0</v>
      </c>
      <c r="Z47" s="58">
        <f t="shared" si="27"/>
        <v>0</v>
      </c>
      <c r="AA47" s="58">
        <f t="shared" si="27"/>
        <v>0</v>
      </c>
    </row>
    <row r="48" spans="1:27" x14ac:dyDescent="0.2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8">IF(E$22=0,0,E39/E$22)</f>
        <v>0</v>
      </c>
      <c r="F48" s="58">
        <f t="shared" si="28"/>
        <v>0</v>
      </c>
      <c r="G48" s="58">
        <f t="shared" si="28"/>
        <v>0</v>
      </c>
      <c r="H48" s="58">
        <f t="shared" si="28"/>
        <v>0.13930348258706465</v>
      </c>
      <c r="I48" s="58">
        <f t="shared" si="28"/>
        <v>0.17223094025221539</v>
      </c>
      <c r="J48" s="58">
        <f t="shared" si="28"/>
        <v>0.19357415605825834</v>
      </c>
      <c r="K48" s="58">
        <f t="shared" si="28"/>
        <v>0.20791507424621311</v>
      </c>
      <c r="L48" s="58">
        <f t="shared" si="28"/>
        <v>0.23721701765497016</v>
      </c>
      <c r="M48" s="58">
        <f t="shared" si="28"/>
        <v>0.25097984538546914</v>
      </c>
      <c r="N48" s="58">
        <f t="shared" si="28"/>
        <v>0.25744804258791526</v>
      </c>
      <c r="O48" s="58">
        <f t="shared" si="28"/>
        <v>0.26048491140281876</v>
      </c>
      <c r="P48" s="58">
        <f t="shared" si="28"/>
        <v>0.26852032362799427</v>
      </c>
      <c r="Q48" s="58">
        <f t="shared" si="28"/>
        <v>0.28195311566420711</v>
      </c>
      <c r="R48" s="58">
        <f t="shared" si="28"/>
        <v>0.29930006792290437</v>
      </c>
      <c r="S48" s="58">
        <f t="shared" si="28"/>
        <v>0.31907743063207666</v>
      </c>
      <c r="T48" s="58">
        <f t="shared" si="28"/>
        <v>0.33381234034475649</v>
      </c>
      <c r="U48" s="58">
        <f t="shared" si="28"/>
        <v>0.34327776751476208</v>
      </c>
      <c r="V48" s="58">
        <f t="shared" si="28"/>
        <v>0.34890349311814361</v>
      </c>
      <c r="W48" s="58">
        <f t="shared" si="28"/>
        <v>0.35208549683523604</v>
      </c>
      <c r="X48" s="58">
        <f t="shared" ref="X48:AA48" si="29">IF(X$22=0,0,X39/X$22)</f>
        <v>0.35505190546853094</v>
      </c>
      <c r="Y48" s="58">
        <f t="shared" si="29"/>
        <v>0.35892574693492524</v>
      </c>
      <c r="Z48" s="58">
        <f t="shared" si="29"/>
        <v>0.36395864844037823</v>
      </c>
      <c r="AA48" s="58">
        <f t="shared" si="29"/>
        <v>0.36999253966352963</v>
      </c>
    </row>
    <row r="49" spans="1:27" x14ac:dyDescent="0.2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30">IF(E22=0,0,E41/E22)</f>
        <v>0</v>
      </c>
      <c r="F49" s="58">
        <f t="shared" si="30"/>
        <v>0</v>
      </c>
      <c r="G49" s="58">
        <f t="shared" si="30"/>
        <v>0</v>
      </c>
      <c r="H49" s="58">
        <f t="shared" si="30"/>
        <v>0.18739635157545603</v>
      </c>
      <c r="I49" s="58">
        <f t="shared" si="30"/>
        <v>0.23169162200595639</v>
      </c>
      <c r="J49" s="58">
        <f t="shared" si="30"/>
        <v>0.26040332898313323</v>
      </c>
      <c r="K49" s="58">
        <f t="shared" si="30"/>
        <v>0.27969527845026287</v>
      </c>
      <c r="L49" s="58">
        <f t="shared" si="30"/>
        <v>0.31911336898823373</v>
      </c>
      <c r="M49" s="58">
        <f t="shared" si="30"/>
        <v>0.33762764914950022</v>
      </c>
      <c r="N49" s="58">
        <f t="shared" si="30"/>
        <v>0.3463289144337432</v>
      </c>
      <c r="O49" s="58">
        <f>IF(O22=0,0,O41/O22)</f>
        <v>0.35041422605379197</v>
      </c>
      <c r="P49" s="58">
        <f t="shared" si="30"/>
        <v>0.36122376869003997</v>
      </c>
      <c r="Q49" s="58">
        <f t="shared" si="30"/>
        <v>0.3792940722625644</v>
      </c>
      <c r="R49" s="58">
        <f t="shared" si="30"/>
        <v>0.40262985327724049</v>
      </c>
      <c r="S49" s="58">
        <f t="shared" si="30"/>
        <v>0.42923511501696043</v>
      </c>
      <c r="T49" s="58">
        <f t="shared" si="30"/>
        <v>0.44905707689235114</v>
      </c>
      <c r="U49" s="58">
        <f t="shared" si="30"/>
        <v>0.46179033010914439</v>
      </c>
      <c r="V49" s="58">
        <f t="shared" si="30"/>
        <v>0.46935827050416962</v>
      </c>
      <c r="W49" s="58">
        <f t="shared" si="30"/>
        <v>0.47363882312359151</v>
      </c>
      <c r="X49" s="58">
        <f t="shared" ref="X49:AA49" si="31">IF(X22=0,0,X41/X22)</f>
        <v>0.47762934902314302</v>
      </c>
      <c r="Y49" s="58">
        <f t="shared" si="31"/>
        <v>0.48284058813864966</v>
      </c>
      <c r="Z49" s="58">
        <f t="shared" si="31"/>
        <v>0.48961103897336616</v>
      </c>
      <c r="AA49" s="58">
        <f t="shared" si="31"/>
        <v>0.49772805930927233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2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265</v>
      </c>
      <c r="B52" s="36" t="s">
        <v>266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2">MAX(0,F33)</f>
        <v>0</v>
      </c>
      <c r="H52" s="9">
        <f t="shared" si="32"/>
        <v>0</v>
      </c>
      <c r="I52" s="9">
        <f t="shared" si="32"/>
        <v>0.23869823163698312</v>
      </c>
      <c r="J52" s="9">
        <f t="shared" si="32"/>
        <v>0.35347789510589311</v>
      </c>
      <c r="K52" s="9">
        <f>MAX(0,J33)</f>
        <v>0.40962560842993789</v>
      </c>
      <c r="L52" s="9">
        <f t="shared" si="32"/>
        <v>0.43805401119935894</v>
      </c>
      <c r="M52" s="9">
        <f t="shared" si="32"/>
        <v>0.21465966142459725</v>
      </c>
      <c r="N52" s="9">
        <f t="shared" si="32"/>
        <v>0.10907254475515898</v>
      </c>
      <c r="O52" s="9">
        <f t="shared" si="32"/>
        <v>5.9139393851128597E-2</v>
      </c>
      <c r="P52" s="9">
        <f t="shared" si="32"/>
        <v>3.5577388004688348E-2</v>
      </c>
      <c r="Q52" s="9">
        <f t="shared" si="32"/>
        <v>7.1978283207301916E-2</v>
      </c>
      <c r="R52" s="9">
        <f t="shared" si="32"/>
        <v>0.11221698747916968</v>
      </c>
      <c r="S52" s="9">
        <f t="shared" si="32"/>
        <v>0.14264562308946221</v>
      </c>
      <c r="T52" s="9">
        <f t="shared" si="32"/>
        <v>0.16292039900659172</v>
      </c>
      <c r="U52" s="9">
        <f t="shared" si="32"/>
        <v>0.12826806506901489</v>
      </c>
      <c r="V52" s="9">
        <f t="shared" si="32"/>
        <v>9.0960307241408411E-2</v>
      </c>
      <c r="W52" s="9">
        <f t="shared" si="32"/>
        <v>6.3443128304587232E-2</v>
      </c>
      <c r="X52" s="9">
        <f t="shared" ref="X52" si="33">MAX(0,W33)</f>
        <v>4.5798503280637309E-2</v>
      </c>
      <c r="Y52" s="9">
        <f t="shared" ref="Y52" si="34">MAX(0,X33)</f>
        <v>4.4759798733565392E-2</v>
      </c>
      <c r="Z52" s="9">
        <f t="shared" ref="Z52" si="35">MAX(0,Y33)</f>
        <v>5.235867342995551E-2</v>
      </c>
      <c r="AA52" s="9">
        <f t="shared" ref="AA52" si="36">MAX(0,Z33)</f>
        <v>6.2105196453103903E-2</v>
      </c>
    </row>
    <row r="53" spans="1:27" x14ac:dyDescent="0.25">
      <c r="A53" s="26" t="s">
        <v>327</v>
      </c>
      <c r="B53" s="36"/>
      <c r="C53" s="30"/>
      <c r="D53" s="30"/>
      <c r="E53" s="9">
        <f>MAX(0,D34)</f>
        <v>0</v>
      </c>
      <c r="F53" s="9">
        <f>MAX(0,E34)</f>
        <v>0</v>
      </c>
      <c r="G53" s="9">
        <f t="shared" ref="G53" si="37">MAX(0,F34)</f>
        <v>0</v>
      </c>
      <c r="H53" s="9">
        <f t="shared" ref="H53" si="38">MAX(0,G34)</f>
        <v>0</v>
      </c>
      <c r="I53" s="9">
        <f t="shared" ref="I53" si="39">MAX(0,H34)</f>
        <v>0</v>
      </c>
      <c r="J53" s="9">
        <f t="shared" ref="J53" si="40">MAX(0,I34)</f>
        <v>0</v>
      </c>
      <c r="K53" s="9">
        <f>MAX(0,J34)</f>
        <v>0</v>
      </c>
      <c r="L53" s="9">
        <f t="shared" ref="L53" si="41">MAX(0,K34)</f>
        <v>0</v>
      </c>
      <c r="M53" s="9">
        <f t="shared" ref="M53" si="42">MAX(0,L34)</f>
        <v>0</v>
      </c>
      <c r="N53" s="9">
        <f t="shared" ref="N53" si="43">MAX(0,M34)</f>
        <v>0</v>
      </c>
      <c r="O53" s="9">
        <f t="shared" ref="O53" si="44">MAX(0,N34)</f>
        <v>0</v>
      </c>
      <c r="P53" s="9">
        <f t="shared" ref="P53" si="45">MAX(0,O34)</f>
        <v>0</v>
      </c>
      <c r="Q53" s="9">
        <f t="shared" ref="Q53" si="46">MAX(0,P34)</f>
        <v>0</v>
      </c>
      <c r="R53" s="9">
        <f t="shared" ref="R53" si="47">MAX(0,Q34)</f>
        <v>0</v>
      </c>
      <c r="S53" s="9">
        <f t="shared" ref="S53" si="48">MAX(0,R34)</f>
        <v>0</v>
      </c>
      <c r="T53" s="9">
        <f t="shared" ref="T53" si="49">MAX(0,S34)</f>
        <v>0</v>
      </c>
      <c r="U53" s="9">
        <f t="shared" ref="U53" si="50">MAX(0,T34)</f>
        <v>0</v>
      </c>
      <c r="V53" s="9">
        <f t="shared" ref="V53" si="51">MAX(0,U34)</f>
        <v>0</v>
      </c>
      <c r="W53" s="9">
        <f t="shared" ref="W53" si="52">MAX(0,V34)</f>
        <v>0</v>
      </c>
      <c r="X53" s="9">
        <f t="shared" ref="X53" si="53">MAX(0,W34)</f>
        <v>0</v>
      </c>
      <c r="Y53" s="9">
        <f t="shared" ref="Y53" si="54">MAX(0,X34)</f>
        <v>0</v>
      </c>
      <c r="Z53" s="9">
        <f t="shared" ref="Z53" si="55">MAX(0,Y34)</f>
        <v>0</v>
      </c>
      <c r="AA53" s="9">
        <f t="shared" ref="AA53" si="56">MAX(0,Z34)</f>
        <v>0</v>
      </c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261</v>
      </c>
      <c r="B55" s="36"/>
      <c r="C55" s="30"/>
      <c r="D55" s="46"/>
      <c r="E55" s="9">
        <f t="shared" ref="E55:AA55" si="57">SUM(E52:E54)</f>
        <v>0</v>
      </c>
      <c r="F55" s="9">
        <f t="shared" si="57"/>
        <v>0</v>
      </c>
      <c r="G55" s="9">
        <f t="shared" si="57"/>
        <v>0</v>
      </c>
      <c r="H55" s="9">
        <f>SUM(H52:H54)</f>
        <v>0</v>
      </c>
      <c r="I55" s="9">
        <f t="shared" si="57"/>
        <v>0.23869823163698312</v>
      </c>
      <c r="J55" s="9">
        <f t="shared" si="57"/>
        <v>0.35347789510589311</v>
      </c>
      <c r="K55" s="9">
        <f>SUM(K52:K54)</f>
        <v>0.40962560842993789</v>
      </c>
      <c r="L55" s="9">
        <f t="shared" si="57"/>
        <v>0.43805401119935894</v>
      </c>
      <c r="M55" s="9">
        <f t="shared" si="57"/>
        <v>0.21465966142459725</v>
      </c>
      <c r="N55" s="9">
        <f t="shared" si="57"/>
        <v>0.10907254475515898</v>
      </c>
      <c r="O55" s="9">
        <f t="shared" si="57"/>
        <v>5.9139393851128597E-2</v>
      </c>
      <c r="P55" s="9">
        <f t="shared" si="57"/>
        <v>3.5577388004688348E-2</v>
      </c>
      <c r="Q55" s="9">
        <f t="shared" si="57"/>
        <v>7.1978283207301916E-2</v>
      </c>
      <c r="R55" s="9">
        <f t="shared" si="57"/>
        <v>0.11221698747916968</v>
      </c>
      <c r="S55" s="9">
        <f t="shared" si="57"/>
        <v>0.14264562308946221</v>
      </c>
      <c r="T55" s="9">
        <f t="shared" si="57"/>
        <v>0.16292039900659172</v>
      </c>
      <c r="U55" s="9">
        <f t="shared" si="57"/>
        <v>0.12826806506901489</v>
      </c>
      <c r="V55" s="9">
        <f t="shared" si="57"/>
        <v>9.0960307241408411E-2</v>
      </c>
      <c r="W55" s="9">
        <f t="shared" si="57"/>
        <v>6.3443128304587232E-2</v>
      </c>
      <c r="X55" s="9">
        <f t="shared" si="57"/>
        <v>4.5798503280637309E-2</v>
      </c>
      <c r="Y55" s="9">
        <f t="shared" si="57"/>
        <v>4.4759798733565392E-2</v>
      </c>
      <c r="Z55" s="9">
        <f t="shared" si="57"/>
        <v>5.235867342995551E-2</v>
      </c>
      <c r="AA55" s="9">
        <f t="shared" si="57"/>
        <v>6.2105196453103903E-2</v>
      </c>
    </row>
    <row r="56" spans="1:27" x14ac:dyDescent="0.25">
      <c r="A56" s="26" t="s">
        <v>103</v>
      </c>
      <c r="B56" s="36" t="s">
        <v>267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58">IF(K37&lt;0,0,MIN(D29,K37))</f>
        <v>0</v>
      </c>
      <c r="M56" s="9">
        <f t="shared" si="58"/>
        <v>0</v>
      </c>
      <c r="N56" s="9">
        <f t="shared" si="58"/>
        <v>0</v>
      </c>
      <c r="O56" s="9">
        <f t="shared" si="58"/>
        <v>0</v>
      </c>
      <c r="P56" s="9">
        <f t="shared" si="58"/>
        <v>0.10015310418334955</v>
      </c>
      <c r="Q56" s="9">
        <f t="shared" si="58"/>
        <v>0.14831240354093417</v>
      </c>
      <c r="R56" s="9">
        <f t="shared" si="58"/>
        <v>0.17187088465591796</v>
      </c>
      <c r="S56" s="9">
        <f t="shared" si="58"/>
        <v>0.18379888581791282</v>
      </c>
      <c r="T56" s="9">
        <f t="shared" si="58"/>
        <v>9.0066990807523312E-2</v>
      </c>
      <c r="U56" s="9">
        <f t="shared" si="58"/>
        <v>4.5764704093073698E-2</v>
      </c>
      <c r="V56" s="9">
        <f t="shared" si="58"/>
        <v>2.481373168578822E-2</v>
      </c>
      <c r="W56" s="9">
        <f t="shared" si="58"/>
        <v>1.4927575386582521E-2</v>
      </c>
      <c r="X56" s="9">
        <f t="shared" si="58"/>
        <v>3.0200678268797999E-2</v>
      </c>
      <c r="Y56" s="9">
        <f t="shared" si="58"/>
        <v>4.7084050690560701E-2</v>
      </c>
      <c r="Z56" s="9">
        <f t="shared" si="58"/>
        <v>5.9851310387186947E-2</v>
      </c>
      <c r="AA56" s="9">
        <f t="shared" si="58"/>
        <v>6.835820937339511E-2</v>
      </c>
    </row>
    <row r="57" spans="1:27" x14ac:dyDescent="0.25">
      <c r="A57" s="7" t="s">
        <v>104</v>
      </c>
      <c r="B57" s="36" t="s">
        <v>268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59">IF(O38&lt;0,0,MIN(D30,O38))</f>
        <v>0</v>
      </c>
      <c r="Q57" s="9">
        <f t="shared" si="59"/>
        <v>0</v>
      </c>
      <c r="R57" s="9">
        <f t="shared" si="59"/>
        <v>0</v>
      </c>
      <c r="S57" s="9">
        <f t="shared" si="59"/>
        <v>0</v>
      </c>
      <c r="T57" s="9">
        <f t="shared" si="59"/>
        <v>0</v>
      </c>
      <c r="U57" s="9">
        <f t="shared" si="59"/>
        <v>0</v>
      </c>
      <c r="V57" s="9">
        <f t="shared" si="59"/>
        <v>0</v>
      </c>
      <c r="W57" s="9">
        <f t="shared" si="59"/>
        <v>0</v>
      </c>
      <c r="X57" s="9">
        <f t="shared" si="59"/>
        <v>0</v>
      </c>
      <c r="Y57" s="9">
        <f t="shared" si="59"/>
        <v>0</v>
      </c>
      <c r="Z57" s="9">
        <f t="shared" si="59"/>
        <v>0</v>
      </c>
      <c r="AA57" s="9">
        <f t="shared" si="59"/>
        <v>0</v>
      </c>
    </row>
    <row r="58" spans="1:27" x14ac:dyDescent="0.25">
      <c r="A58" s="7" t="s">
        <v>105</v>
      </c>
      <c r="B58" s="36" t="s">
        <v>269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60">SUM(M56:M58)</f>
        <v>0</v>
      </c>
      <c r="N59" s="9">
        <f t="shared" si="60"/>
        <v>0</v>
      </c>
      <c r="O59" s="9">
        <f t="shared" si="60"/>
        <v>0</v>
      </c>
      <c r="P59" s="9">
        <f t="shared" si="60"/>
        <v>0.10015310418334955</v>
      </c>
      <c r="Q59" s="9">
        <f t="shared" si="60"/>
        <v>0.14831240354093417</v>
      </c>
      <c r="R59" s="9">
        <f t="shared" si="60"/>
        <v>0.17187088465591796</v>
      </c>
      <c r="S59" s="9">
        <f t="shared" si="60"/>
        <v>0.18379888581791282</v>
      </c>
      <c r="T59" s="9">
        <f t="shared" si="60"/>
        <v>9.0066990807523312E-2</v>
      </c>
      <c r="U59" s="9">
        <f t="shared" si="60"/>
        <v>4.5764704093073698E-2</v>
      </c>
      <c r="V59" s="9">
        <f t="shared" si="60"/>
        <v>2.481373168578822E-2</v>
      </c>
      <c r="W59" s="9">
        <f t="shared" si="60"/>
        <v>1.4927575386582521E-2</v>
      </c>
      <c r="X59" s="9">
        <f t="shared" ref="X59:AA59" si="61">SUM(X56:X58)</f>
        <v>3.0200678268797999E-2</v>
      </c>
      <c r="Y59" s="9">
        <f t="shared" si="61"/>
        <v>4.7084050690560701E-2</v>
      </c>
      <c r="Z59" s="9">
        <f t="shared" si="61"/>
        <v>5.9851310387186947E-2</v>
      </c>
      <c r="AA59" s="9">
        <f t="shared" si="61"/>
        <v>6.835820937339511E-2</v>
      </c>
    </row>
    <row r="60" spans="1:27" x14ac:dyDescent="0.2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272</v>
      </c>
      <c r="B61" s="7" t="s">
        <v>273</v>
      </c>
      <c r="C61" s="30"/>
      <c r="D61" s="32">
        <f t="shared" ref="D61:AA61" si="62">D11</f>
        <v>2.66166666666666</v>
      </c>
      <c r="E61" s="32">
        <f t="shared" si="62"/>
        <v>2.5960000000000001</v>
      </c>
      <c r="F61" s="32">
        <f t="shared" si="62"/>
        <v>2.246</v>
      </c>
      <c r="G61" s="32">
        <f t="shared" si="62"/>
        <v>2.1846670000000001</v>
      </c>
      <c r="H61" s="32">
        <f t="shared" si="62"/>
        <v>2.2000000000000002</v>
      </c>
      <c r="I61" s="32">
        <f t="shared" si="62"/>
        <v>2.2000000000000002</v>
      </c>
      <c r="J61" s="32">
        <f t="shared" si="62"/>
        <v>2.2000000000000002</v>
      </c>
      <c r="K61" s="32">
        <f t="shared" si="62"/>
        <v>2.2000000000000002</v>
      </c>
      <c r="L61" s="32">
        <f t="shared" si="62"/>
        <v>2.4500000000000002</v>
      </c>
      <c r="M61" s="32">
        <f t="shared" si="62"/>
        <v>2.4500000000000002</v>
      </c>
      <c r="N61" s="32">
        <f t="shared" si="62"/>
        <v>2.7</v>
      </c>
      <c r="O61" s="32">
        <f t="shared" si="62"/>
        <v>2.7</v>
      </c>
      <c r="P61" s="32">
        <f t="shared" si="62"/>
        <v>2.7</v>
      </c>
      <c r="Q61" s="32">
        <f t="shared" si="62"/>
        <v>2.7</v>
      </c>
      <c r="R61" s="32">
        <f t="shared" si="62"/>
        <v>2.7</v>
      </c>
      <c r="S61" s="32">
        <f t="shared" si="62"/>
        <v>2.7</v>
      </c>
      <c r="T61" s="32">
        <f t="shared" si="62"/>
        <v>2.7</v>
      </c>
      <c r="U61" s="32">
        <f t="shared" si="62"/>
        <v>2.7</v>
      </c>
      <c r="V61" s="32">
        <f t="shared" si="62"/>
        <v>2.7</v>
      </c>
      <c r="W61" s="32">
        <f t="shared" si="62"/>
        <v>2.7</v>
      </c>
      <c r="X61" s="32">
        <f t="shared" si="62"/>
        <v>2.7</v>
      </c>
      <c r="Y61" s="32">
        <f t="shared" si="62"/>
        <v>2.7</v>
      </c>
      <c r="Z61" s="32">
        <f t="shared" si="62"/>
        <v>2.7</v>
      </c>
      <c r="AA61" s="32">
        <f t="shared" si="62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2.4351247517514305</v>
      </c>
      <c r="J64" s="32">
        <f>IF(SUM(D29:J29)&gt;0, SUMPRODUCT(D29:J29,D$13:J$13)/SUM(D29:J29), J$13)</f>
        <v>2.4662160893820273</v>
      </c>
      <c r="K64" s="32">
        <f t="shared" ref="K64:Z64" si="63">IF(SUM(D28:K28)&gt;0, SUMPRODUCT(D28:K28,D$13:K$13)/SUM(D28:K28), K$13)</f>
        <v>2.499989048920856</v>
      </c>
      <c r="L64" s="32">
        <f t="shared" si="63"/>
        <v>2.5257085482139687</v>
      </c>
      <c r="M64" s="32">
        <f t="shared" si="63"/>
        <v>2.5384399233691153</v>
      </c>
      <c r="N64" s="32">
        <f t="shared" si="63"/>
        <v>2.547575295314616</v>
      </c>
      <c r="O64" s="32">
        <f t="shared" si="63"/>
        <v>2.5527908873761325</v>
      </c>
      <c r="P64" s="32">
        <f t="shared" si="63"/>
        <v>2.5835186852638432</v>
      </c>
      <c r="Q64" s="32">
        <f t="shared" si="63"/>
        <v>2.634771011297032</v>
      </c>
      <c r="R64" s="32">
        <f t="shared" si="63"/>
        <v>2.6998873054806798</v>
      </c>
      <c r="S64" s="32">
        <f t="shared" si="63"/>
        <v>2.7805968430347865</v>
      </c>
      <c r="T64" s="32">
        <f t="shared" si="63"/>
        <v>2.8082623528944644</v>
      </c>
      <c r="U64" s="32">
        <f t="shared" si="63"/>
        <v>2.8199999999999994</v>
      </c>
      <c r="V64" s="32">
        <f t="shared" si="63"/>
        <v>2.82</v>
      </c>
      <c r="W64" s="32">
        <f t="shared" si="63"/>
        <v>2.82</v>
      </c>
      <c r="X64" s="32">
        <f t="shared" si="63"/>
        <v>2.82</v>
      </c>
      <c r="Y64" s="32">
        <f t="shared" si="63"/>
        <v>2.82</v>
      </c>
      <c r="Z64" s="32">
        <f t="shared" si="63"/>
        <v>2.8200000000000003</v>
      </c>
      <c r="AA64" s="32">
        <f>IF(SUM(T28:AA28)&gt;0, SUMPRODUCT(T28:AA28,T$13:AA$13)/SUM(T28:AA28), AA$13)</f>
        <v>2.8199999999999994</v>
      </c>
    </row>
    <row r="65" spans="1:27" ht="26.25" x14ac:dyDescent="0.2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64">IF(SUM(D30:O30)&gt;0, SUMPRODUCT(D30:O30,D$14:O$14)/SUM(D30:O30), O$14)</f>
        <v>2.8679999999999999</v>
      </c>
      <c r="P65" s="32">
        <f t="shared" si="64"/>
        <v>2.8679999999999999</v>
      </c>
      <c r="Q65" s="32">
        <f t="shared" si="64"/>
        <v>2.8679999999999999</v>
      </c>
      <c r="R65" s="32">
        <f t="shared" si="64"/>
        <v>2.8679999999999999</v>
      </c>
      <c r="S65" s="32">
        <f t="shared" si="64"/>
        <v>2.8679999999999999</v>
      </c>
      <c r="T65" s="32">
        <f t="shared" si="64"/>
        <v>2.8679999999999999</v>
      </c>
      <c r="U65" s="32">
        <f t="shared" si="64"/>
        <v>2.8679999999999999</v>
      </c>
      <c r="V65" s="32">
        <f t="shared" si="64"/>
        <v>2.8679999999999999</v>
      </c>
      <c r="W65" s="32">
        <f t="shared" si="64"/>
        <v>2.8679999999999999</v>
      </c>
      <c r="X65" s="32">
        <f t="shared" si="64"/>
        <v>2.8679999999999999</v>
      </c>
      <c r="Y65" s="32">
        <f t="shared" si="64"/>
        <v>2.8679999999999999</v>
      </c>
      <c r="Z65" s="32">
        <f t="shared" si="64"/>
        <v>2.8679999999999999</v>
      </c>
      <c r="AA65" s="32">
        <f t="shared" si="64"/>
        <v>2.8679999999999999</v>
      </c>
    </row>
    <row r="66" spans="1:27" x14ac:dyDescent="0.25">
      <c r="A66" s="26" t="s">
        <v>219</v>
      </c>
      <c r="B66" s="36" t="s">
        <v>124</v>
      </c>
      <c r="C66" s="30"/>
      <c r="D66" s="61">
        <f t="shared" ref="D66:AA66" si="65">IF(AND(D31&gt;0,D39&gt;0),MIN(MAX(0,D31/D39),1),0)</f>
        <v>0</v>
      </c>
      <c r="E66" s="61">
        <f t="shared" si="65"/>
        <v>0</v>
      </c>
      <c r="F66" s="61">
        <f t="shared" si="65"/>
        <v>0</v>
      </c>
      <c r="G66" s="61">
        <f t="shared" si="65"/>
        <v>0</v>
      </c>
      <c r="H66" s="61">
        <f t="shared" si="65"/>
        <v>1</v>
      </c>
      <c r="I66" s="61">
        <f t="shared" si="65"/>
        <v>0.59691345047986677</v>
      </c>
      <c r="J66" s="61">
        <f t="shared" si="65"/>
        <v>0.40888889891898228</v>
      </c>
      <c r="K66" s="61">
        <f t="shared" si="65"/>
        <v>0.30423465149413031</v>
      </c>
      <c r="L66" s="61">
        <f t="shared" si="65"/>
        <v>0.12974171193150025</v>
      </c>
      <c r="M66" s="61">
        <f t="shared" si="65"/>
        <v>6.1846955008583469E-2</v>
      </c>
      <c r="N66" s="61">
        <f t="shared" si="65"/>
        <v>3.2445551424810391E-2</v>
      </c>
      <c r="O66" s="61">
        <f t="shared" si="65"/>
        <v>1.9145077417040048E-2</v>
      </c>
      <c r="P66" s="61">
        <f t="shared" si="65"/>
        <v>3.728897915510563E-2</v>
      </c>
      <c r="Q66" s="61">
        <f t="shared" si="65"/>
        <v>5.4940997404792295E-2</v>
      </c>
      <c r="R66" s="61">
        <f t="shared" si="65"/>
        <v>6.5279687197796074E-2</v>
      </c>
      <c r="S66" s="61">
        <f t="shared" si="65"/>
        <v>6.9384930883542709E-2</v>
      </c>
      <c r="T66" s="61">
        <f t="shared" si="65"/>
        <v>5.1797560543209803E-2</v>
      </c>
      <c r="U66" s="61">
        <f t="shared" si="65"/>
        <v>3.5430415482968769E-2</v>
      </c>
      <c r="V66" s="61">
        <f t="shared" si="65"/>
        <v>2.4116099623786975E-2</v>
      </c>
      <c r="W66" s="61">
        <f t="shared" si="65"/>
        <v>1.7111110311508127E-2</v>
      </c>
      <c r="X66" s="61">
        <f t="shared" si="65"/>
        <v>1.6447972411927927E-2</v>
      </c>
      <c r="Y66" s="61">
        <f t="shared" si="65"/>
        <v>1.8877143266623646E-2</v>
      </c>
      <c r="Z66" s="61">
        <f t="shared" si="65"/>
        <v>2.1900726094534174E-2</v>
      </c>
      <c r="AA66" s="61">
        <f t="shared" si="65"/>
        <v>2.4377096125318198E-2</v>
      </c>
    </row>
    <row r="67" spans="1:27" x14ac:dyDescent="0.25">
      <c r="A67" s="26" t="s">
        <v>123</v>
      </c>
      <c r="B67" s="36" t="s">
        <v>124</v>
      </c>
      <c r="C67" s="30"/>
      <c r="D67" s="61">
        <f t="shared" ref="D67:AA67" si="66">IF(AND(D32&gt;0,D41&gt;0),MIN(MAX(0,D32/D41),1),0)</f>
        <v>0</v>
      </c>
      <c r="E67" s="61">
        <f t="shared" si="66"/>
        <v>0</v>
      </c>
      <c r="F67" s="61">
        <f t="shared" si="66"/>
        <v>0</v>
      </c>
      <c r="G67" s="61">
        <f t="shared" si="66"/>
        <v>0</v>
      </c>
      <c r="H67" s="61">
        <f t="shared" si="66"/>
        <v>1</v>
      </c>
      <c r="I67" s="61">
        <f t="shared" si="66"/>
        <v>0.59691345047986677</v>
      </c>
      <c r="J67" s="61">
        <f t="shared" si="66"/>
        <v>0.40888889891898228</v>
      </c>
      <c r="K67" s="61">
        <f t="shared" si="66"/>
        <v>0.30423465149413026</v>
      </c>
      <c r="L67" s="61">
        <f t="shared" si="66"/>
        <v>0.12974171193150025</v>
      </c>
      <c r="M67" s="61">
        <f t="shared" si="66"/>
        <v>6.1846955008583455E-2</v>
      </c>
      <c r="N67" s="61">
        <f t="shared" si="66"/>
        <v>3.2445551424810384E-2</v>
      </c>
      <c r="O67" s="61">
        <f t="shared" si="66"/>
        <v>1.9145077417040045E-2</v>
      </c>
      <c r="P67" s="61">
        <f t="shared" si="66"/>
        <v>3.7288979155105623E-2</v>
      </c>
      <c r="Q67" s="61">
        <f t="shared" si="66"/>
        <v>5.4940997404792295E-2</v>
      </c>
      <c r="R67" s="61">
        <f t="shared" si="66"/>
        <v>6.527968719779606E-2</v>
      </c>
      <c r="S67" s="61">
        <f t="shared" si="66"/>
        <v>6.9384930883542695E-2</v>
      </c>
      <c r="T67" s="61">
        <f t="shared" si="66"/>
        <v>5.1797560543209796E-2</v>
      </c>
      <c r="U67" s="61">
        <f t="shared" si="66"/>
        <v>3.5430415482968762E-2</v>
      </c>
      <c r="V67" s="61">
        <f t="shared" si="66"/>
        <v>2.4116099623786965E-2</v>
      </c>
      <c r="W67" s="61">
        <f t="shared" si="66"/>
        <v>1.711111031150812E-2</v>
      </c>
      <c r="X67" s="61">
        <f t="shared" si="66"/>
        <v>1.6447972411927921E-2</v>
      </c>
      <c r="Y67" s="61">
        <f t="shared" si="66"/>
        <v>1.8877143266623639E-2</v>
      </c>
      <c r="Z67" s="61">
        <f t="shared" si="66"/>
        <v>2.1900726094534168E-2</v>
      </c>
      <c r="AA67" s="61">
        <f t="shared" si="66"/>
        <v>2.4377096125318187E-2</v>
      </c>
    </row>
    <row r="68" spans="1:27" ht="26.25" x14ac:dyDescent="0.25">
      <c r="A68" s="26" t="s">
        <v>225</v>
      </c>
      <c r="B68" s="36" t="s">
        <v>122</v>
      </c>
      <c r="C68" s="30"/>
      <c r="D68" s="32">
        <f t="shared" ref="D68:AA68" si="67">IF(D39&gt;0,D66*D15+(1-D66)*C68,D15)</f>
        <v>2.9906666666666601</v>
      </c>
      <c r="E68" s="32">
        <f t="shared" si="67"/>
        <v>3.0644</v>
      </c>
      <c r="F68" s="32">
        <f t="shared" si="67"/>
        <v>2.8384</v>
      </c>
      <c r="G68" s="32">
        <f t="shared" si="67"/>
        <v>2.9120889999999999</v>
      </c>
      <c r="H68" s="32">
        <f t="shared" si="67"/>
        <v>2.6878315808348501</v>
      </c>
      <c r="I68" s="32">
        <f t="shared" si="67"/>
        <v>2.7089933241223099</v>
      </c>
      <c r="J68" s="32">
        <f t="shared" si="67"/>
        <v>2.7416655274889266</v>
      </c>
      <c r="K68" s="32">
        <f t="shared" si="67"/>
        <v>2.7769721649053491</v>
      </c>
      <c r="L68" s="32">
        <f t="shared" si="67"/>
        <v>2.7963685466984045</v>
      </c>
      <c r="M68" s="32">
        <f t="shared" si="67"/>
        <v>2.8065619369041968</v>
      </c>
      <c r="N68" s="32">
        <f t="shared" si="67"/>
        <v>2.8127083593221878</v>
      </c>
      <c r="O68" s="32">
        <f t="shared" si="67"/>
        <v>2.8162174919728611</v>
      </c>
      <c r="P68" s="32">
        <f t="shared" si="67"/>
        <v>2.8229213981671375</v>
      </c>
      <c r="Q68" s="32">
        <f t="shared" si="67"/>
        <v>2.832430509181262</v>
      </c>
      <c r="R68" s="32">
        <f t="shared" si="67"/>
        <v>2.8431082743770122</v>
      </c>
      <c r="S68" s="32">
        <f t="shared" si="67"/>
        <v>2.8537166561920286</v>
      </c>
      <c r="T68" s="32">
        <f t="shared" si="67"/>
        <v>2.8610865863072119</v>
      </c>
      <c r="U68" s="32">
        <f t="shared" si="67"/>
        <v>2.8658666246085733</v>
      </c>
      <c r="V68" s="32">
        <f t="shared" si="67"/>
        <v>2.8690049340538928</v>
      </c>
      <c r="W68" s="32">
        <f t="shared" si="67"/>
        <v>2.8711779606363139</v>
      </c>
      <c r="X68" s="32">
        <f t="shared" si="67"/>
        <v>2.8732310300961679</v>
      </c>
      <c r="Y68" s="32">
        <f t="shared" si="67"/>
        <v>2.8755485575297386</v>
      </c>
      <c r="Z68" s="32">
        <f t="shared" si="67"/>
        <v>2.8781865315789714</v>
      </c>
      <c r="AA68" s="32">
        <f t="shared" si="67"/>
        <v>2.8810584818235276</v>
      </c>
    </row>
    <row r="69" spans="1:27" ht="26.25" x14ac:dyDescent="0.25">
      <c r="A69" s="26" t="s">
        <v>47</v>
      </c>
      <c r="B69" s="36" t="s">
        <v>122</v>
      </c>
      <c r="C69" s="30"/>
      <c r="D69" s="32">
        <f t="shared" ref="D69:AA69" si="68">IF(D41&gt;0,D67*D12+(1-D67)*C69,D12)</f>
        <v>3.53</v>
      </c>
      <c r="E69" s="32">
        <f t="shared" si="68"/>
        <v>3.7833333333333301</v>
      </c>
      <c r="F69" s="32">
        <f t="shared" si="68"/>
        <v>3.6766666666666601</v>
      </c>
      <c r="G69" s="32">
        <f t="shared" si="68"/>
        <v>3.8372730000000002</v>
      </c>
      <c r="H69" s="32">
        <f t="shared" si="68"/>
        <v>3.8255129999999999</v>
      </c>
      <c r="I69" s="32">
        <f t="shared" si="68"/>
        <v>3.8184162959872445</v>
      </c>
      <c r="J69" s="32">
        <f t="shared" si="68"/>
        <v>3.8115954992384782</v>
      </c>
      <c r="K69" s="32">
        <f t="shared" si="68"/>
        <v>3.8049788521521393</v>
      </c>
      <c r="L69" s="32">
        <f t="shared" si="68"/>
        <v>3.8014731205360723</v>
      </c>
      <c r="M69" s="32">
        <f t="shared" si="68"/>
        <v>3.7991542233501914</v>
      </c>
      <c r="N69" s="32">
        <f t="shared" si="68"/>
        <v>3.7975593874687359</v>
      </c>
      <c r="O69" s="32">
        <f t="shared" si="68"/>
        <v>3.79664885931374</v>
      </c>
      <c r="P69" s="32">
        <f t="shared" si="68"/>
        <v>3.7949093709711805</v>
      </c>
      <c r="Q69" s="32">
        <f>IF(Q41&gt;0,Q67*Q12+(1-Q67)*P69,Q12)</f>
        <v>3.7924420053372021</v>
      </c>
      <c r="R69" s="32">
        <f t="shared" si="68"/>
        <v>3.7896714045047424</v>
      </c>
      <c r="S69" s="32">
        <f t="shared" si="68"/>
        <v>3.786918806845128</v>
      </c>
      <c r="T69" s="32">
        <f t="shared" si="68"/>
        <v>3.7850065027123843</v>
      </c>
      <c r="U69" s="32">
        <f t="shared" si="68"/>
        <v>3.7837662077766789</v>
      </c>
      <c r="V69" s="32">
        <f t="shared" si="68"/>
        <v>3.7829518985460191</v>
      </c>
      <c r="W69" s="32">
        <f t="shared" si="68"/>
        <v>3.7823880549750242</v>
      </c>
      <c r="X69" s="32">
        <f t="shared" si="68"/>
        <v>3.781855337140319</v>
      </c>
      <c r="Y69" s="32">
        <f t="shared" si="68"/>
        <v>3.7812539993773147</v>
      </c>
      <c r="Z69" s="32">
        <f t="shared" si="68"/>
        <v>3.7805695140975932</v>
      </c>
      <c r="AA69" s="32">
        <f t="shared" si="68"/>
        <v>3.7798243181139317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Z71" si="69">IF(E22&gt;0,SUMPRODUCT(E42,E61)+SUMPRODUCT(E46:E47,E64:E65)+SUMPRODUCT(E48:E49,E68:E69),E16)</f>
        <v>2.976965616362631</v>
      </c>
      <c r="F71" s="46">
        <f t="shared" si="69"/>
        <v>2.7145156440022093</v>
      </c>
      <c r="G71" s="46">
        <f t="shared" si="69"/>
        <v>2.7404523499170814</v>
      </c>
      <c r="H71" s="46">
        <f t="shared" si="69"/>
        <v>2.6154788170651897</v>
      </c>
      <c r="I71" s="46">
        <f t="shared" si="69"/>
        <v>2.7204889770234391</v>
      </c>
      <c r="J71" s="46">
        <f t="shared" si="69"/>
        <v>2.798135215798677</v>
      </c>
      <c r="K71" s="46">
        <f t="shared" si="69"/>
        <v>2.8579694251486707</v>
      </c>
      <c r="L71" s="46">
        <f t="shared" si="69"/>
        <v>2.9890938771318822</v>
      </c>
      <c r="M71" s="46">
        <f t="shared" si="69"/>
        <v>3.0267111118402368</v>
      </c>
      <c r="N71" s="46">
        <f t="shared" si="69"/>
        <v>3.0530738950175564</v>
      </c>
      <c r="O71" s="46">
        <f t="shared" si="69"/>
        <v>3.0597746177327556</v>
      </c>
      <c r="P71" s="46">
        <f t="shared" si="69"/>
        <v>3.0893572951882162</v>
      </c>
      <c r="Q71" s="46">
        <f t="shared" si="69"/>
        <v>3.1330398039972898</v>
      </c>
      <c r="R71" s="46">
        <f t="shared" si="69"/>
        <v>3.1815404598673336</v>
      </c>
      <c r="S71" s="46">
        <f t="shared" si="69"/>
        <v>3.2298011728648963</v>
      </c>
      <c r="T71" s="46">
        <f t="shared" si="69"/>
        <v>3.2581361372976927</v>
      </c>
      <c r="U71" s="46">
        <f t="shared" si="69"/>
        <v>3.2758336683881186</v>
      </c>
      <c r="V71" s="46">
        <f t="shared" si="69"/>
        <v>3.2856296321514793</v>
      </c>
      <c r="W71" s="46">
        <f t="shared" si="69"/>
        <v>3.2913818947302618</v>
      </c>
      <c r="X71" s="46">
        <f t="shared" si="69"/>
        <v>3.2959241074719752</v>
      </c>
      <c r="Y71" s="46">
        <f t="shared" si="69"/>
        <v>3.3013019811615854</v>
      </c>
      <c r="Z71" s="46">
        <f t="shared" si="69"/>
        <v>3.3082262232238087</v>
      </c>
      <c r="AA71" s="46">
        <f>IF(AA22&gt;0,SUMPRODUCT(AA42,AA61)+SUMPRODUCT(AA46:AA47,AA64:AA65)+SUMPRODUCT(AA48:AA49,AA68:AA69),AA16)</f>
        <v>3.3166376317482387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49</v>
      </c>
      <c r="B74" s="44"/>
      <c r="C74" s="12"/>
      <c r="D74" s="13">
        <f>D19+D20</f>
        <v>0</v>
      </c>
      <c r="E74" s="13">
        <f t="shared" ref="E74:W74" si="70">E19+E20</f>
        <v>0</v>
      </c>
      <c r="F74" s="13">
        <f t="shared" si="70"/>
        <v>0</v>
      </c>
      <c r="G74" s="13">
        <f t="shared" si="70"/>
        <v>0</v>
      </c>
      <c r="H74" s="13">
        <f>H19+H20</f>
        <v>-3.2693485213314871E-3</v>
      </c>
      <c r="I74" s="13">
        <f t="shared" si="70"/>
        <v>-6.5715961562111923E-3</v>
      </c>
      <c r="J74" s="13">
        <f t="shared" si="70"/>
        <v>-1.0173300290094854E-2</v>
      </c>
      <c r="K74" s="13">
        <f>K19+K20</f>
        <v>-1.3963792805074076E-2</v>
      </c>
      <c r="L74" s="13">
        <f t="shared" si="70"/>
        <v>-1.4532617608445743E-2</v>
      </c>
      <c r="M74" s="13">
        <f t="shared" si="70"/>
        <v>-1.5307976643098091E-2</v>
      </c>
      <c r="N74" s="13">
        <f t="shared" si="70"/>
        <v>-1.5616456965926824E-2</v>
      </c>
      <c r="O74" s="13">
        <f t="shared" si="70"/>
        <v>-1.5871672466448584E-2</v>
      </c>
      <c r="P74" s="13">
        <f t="shared" si="70"/>
        <v>-1.6027916112672052E-2</v>
      </c>
      <c r="Q74" s="13">
        <f t="shared" si="70"/>
        <v>-1.6306667971831463E-2</v>
      </c>
      <c r="R74" s="13">
        <f t="shared" si="70"/>
        <v>-1.6664962560526811E-2</v>
      </c>
      <c r="S74" s="13">
        <f t="shared" si="70"/>
        <v>-1.7055493193935459E-2</v>
      </c>
      <c r="T74" s="13">
        <f t="shared" si="70"/>
        <v>-1.7451922202024756E-2</v>
      </c>
      <c r="U74" s="13">
        <f t="shared" si="70"/>
        <v>-1.774717932241936E-2</v>
      </c>
      <c r="V74" s="13">
        <f t="shared" si="70"/>
        <v>-1.798892040030723E-2</v>
      </c>
      <c r="W74" s="13">
        <f t="shared" si="70"/>
        <v>-1.8190476302621491E-2</v>
      </c>
      <c r="X74" s="13">
        <f t="shared" ref="X74:AA74" si="71">X19+X20</f>
        <v>-1.837200249371131E-2</v>
      </c>
      <c r="Y74" s="13">
        <f t="shared" si="71"/>
        <v>-1.8548738262108781E-2</v>
      </c>
      <c r="Z74" s="13">
        <f t="shared" si="71"/>
        <v>-1.8732091222094086E-2</v>
      </c>
      <c r="AA74" s="13">
        <f t="shared" si="71"/>
        <v>-1.8926305416691186E-2</v>
      </c>
    </row>
    <row r="75" spans="1:27" x14ac:dyDescent="0.2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-0.50326934852133154</v>
      </c>
      <c r="I75" s="13">
        <f>-SUM($D21:I21)</f>
        <v>-1.0098409446775427</v>
      </c>
      <c r="J75" s="13">
        <f>-SUM($D21:J21)</f>
        <v>-1.5200142449676375</v>
      </c>
      <c r="K75" s="13">
        <f>-SUM($D21:K21)</f>
        <v>-2.0339780377727115</v>
      </c>
      <c r="L75" s="13">
        <f>-SUM($D21:L21)</f>
        <v>-2.0485106553811572</v>
      </c>
      <c r="M75" s="13">
        <f>-SUM($D21:M21)</f>
        <v>-2.0638186320242551</v>
      </c>
      <c r="N75" s="13">
        <f>-SUM($D21:N21)</f>
        <v>-2.079435088990182</v>
      </c>
      <c r="O75" s="13">
        <f>-SUM($D21:O21)</f>
        <v>-2.0953067614566305</v>
      </c>
      <c r="P75" s="13">
        <f>-SUM($D21:P21)</f>
        <v>-2.1113346775693027</v>
      </c>
      <c r="Q75" s="13">
        <f>-SUM($D21:Q21)</f>
        <v>-2.127641345541134</v>
      </c>
      <c r="R75" s="13">
        <f>-SUM($D21:R21)</f>
        <v>-2.1443063081016609</v>
      </c>
      <c r="S75" s="13">
        <f>-SUM($D21:S21)</f>
        <v>-2.1613618012955964</v>
      </c>
      <c r="T75" s="13">
        <f>-SUM($D21:T21)</f>
        <v>-2.1788137234976213</v>
      </c>
      <c r="U75" s="13">
        <f>-SUM($D21:U21)</f>
        <v>-2.1965609028200408</v>
      </c>
      <c r="V75" s="13">
        <f>-SUM($D21:V21)</f>
        <v>-2.2145498232203482</v>
      </c>
      <c r="W75" s="13">
        <f>-SUM($D21:W21)</f>
        <v>-2.2327402995229697</v>
      </c>
      <c r="X75" s="13">
        <f>-SUM($D21:X21)</f>
        <v>-2.251112302016681</v>
      </c>
      <c r="Y75" s="13">
        <f>-SUM($D21:Y21)</f>
        <v>-2.2696610402787898</v>
      </c>
      <c r="Z75" s="13">
        <f>-SUM($D21:Z21)</f>
        <v>-2.2883931315008841</v>
      </c>
      <c r="AA75" s="13">
        <f>-SUM($D21:AA21)</f>
        <v>-2.3073194369175751</v>
      </c>
    </row>
    <row r="76" spans="1:27" x14ac:dyDescent="0.2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-3.2693485213314871E-3</v>
      </c>
      <c r="I76" s="13">
        <f>SUM($D74:I74)</f>
        <v>-9.840944677542679E-3</v>
      </c>
      <c r="J76" s="13">
        <f>SUM($D74:J74)</f>
        <v>-2.0014244967637533E-2</v>
      </c>
      <c r="K76" s="13">
        <f>SUM($D74:K74)</f>
        <v>-3.3978037772711606E-2</v>
      </c>
      <c r="L76" s="13">
        <f>SUM($D74:L74)</f>
        <v>-4.8510655381157348E-2</v>
      </c>
      <c r="M76" s="13">
        <f>SUM($D74:M74)</f>
        <v>-6.3818632024255445E-2</v>
      </c>
      <c r="N76" s="13">
        <f>SUM($D74:N74)</f>
        <v>-7.943508899018227E-2</v>
      </c>
      <c r="O76" s="13">
        <f>SUM($D74:O74)</f>
        <v>-9.5306761456630862E-2</v>
      </c>
      <c r="P76" s="13">
        <f>SUM($D74:P74)</f>
        <v>-0.11133467756930292</v>
      </c>
      <c r="Q76" s="13">
        <f>SUM($D74:Q74)</f>
        <v>-0.12764134554113438</v>
      </c>
      <c r="R76" s="13">
        <f>SUM($D74:R74)</f>
        <v>-0.14430630810166117</v>
      </c>
      <c r="S76" s="13">
        <f>SUM($D74:S74)</f>
        <v>-0.16136180129559663</v>
      </c>
      <c r="T76" s="13">
        <f>SUM($D74:T74)</f>
        <v>-0.1788137234976214</v>
      </c>
      <c r="U76" s="13">
        <f>SUM($D74:U74)</f>
        <v>-0.19656090282004077</v>
      </c>
      <c r="V76" s="13">
        <f>SUM($D74:V74)</f>
        <v>-0.21454982322034799</v>
      </c>
      <c r="W76" s="13">
        <f>SUM($D74:W74)</f>
        <v>-0.23274029952296948</v>
      </c>
      <c r="X76" s="13">
        <f>SUM($D74:X74)</f>
        <v>-0.25111230201668078</v>
      </c>
      <c r="Y76" s="13">
        <f>SUM($D74:Y74)</f>
        <v>-0.26966104027878957</v>
      </c>
      <c r="Z76" s="13">
        <f>SUM($D74:Z74)</f>
        <v>-0.28839313150088364</v>
      </c>
      <c r="AA76" s="13">
        <f>SUM($D74:AA74)</f>
        <v>-0.3073194369175748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67"/>
      <c r="E82" s="67"/>
      <c r="F82" s="67"/>
      <c r="G82" s="67"/>
    </row>
    <row r="83" spans="4:7" x14ac:dyDescent="0.25">
      <c r="G83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L32" sqref="L32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4" width="9.5703125" customWidth="1"/>
    <col min="5" max="5" width="7.7109375" bestFit="1" customWidth="1"/>
    <col min="6" max="6" width="9.5703125" customWidth="1"/>
    <col min="7" max="7" width="25.140625" customWidth="1"/>
    <col min="8" max="8" width="15.28515625" customWidth="1"/>
    <col min="9" max="10" width="17.7109375" customWidth="1"/>
    <col min="11" max="11" width="14.85546875" customWidth="1"/>
    <col min="12" max="12" width="14.5703125" customWidth="1"/>
    <col min="13" max="13" width="14.140625" customWidth="1"/>
    <col min="14" max="14" width="14" customWidth="1"/>
    <col min="15" max="15" width="15.7109375" customWidth="1"/>
    <col min="16" max="16" width="18.5703125" customWidth="1"/>
  </cols>
  <sheetData>
    <row r="1" spans="1:16" s="21" customFormat="1" x14ac:dyDescent="0.25">
      <c r="A1" s="111" t="s">
        <v>54</v>
      </c>
      <c r="B1" s="112" t="s">
        <v>24</v>
      </c>
      <c r="C1" s="112" t="s">
        <v>25</v>
      </c>
      <c r="D1" s="113" t="s">
        <v>33</v>
      </c>
      <c r="G1" s="111" t="s">
        <v>91</v>
      </c>
      <c r="H1" s="112" t="s">
        <v>24</v>
      </c>
      <c r="I1" s="112" t="s">
        <v>25</v>
      </c>
      <c r="J1" s="112" t="s">
        <v>33</v>
      </c>
      <c r="K1" s="112" t="s">
        <v>34</v>
      </c>
      <c r="L1" s="112" t="s">
        <v>35</v>
      </c>
      <c r="M1" s="112" t="s">
        <v>36</v>
      </c>
      <c r="N1" s="113" t="s">
        <v>283</v>
      </c>
    </row>
    <row r="2" spans="1:16" x14ac:dyDescent="0.25">
      <c r="A2" s="109" t="s">
        <v>55</v>
      </c>
      <c r="B2" s="72">
        <f>B22</f>
        <v>187</v>
      </c>
      <c r="C2" s="72">
        <f t="shared" ref="C2" si="0">C22</f>
        <v>202</v>
      </c>
      <c r="D2" s="73">
        <v>281</v>
      </c>
      <c r="G2" s="114" t="s">
        <v>55</v>
      </c>
      <c r="H2" s="77">
        <f>B2/B30</f>
        <v>0.42117117117117114</v>
      </c>
      <c r="I2" s="77">
        <f>C2/C30</f>
        <v>0.52196382428940569</v>
      </c>
      <c r="J2" s="77">
        <f>D2/SUM(D$2:D$4)</f>
        <v>0.57938144329896912</v>
      </c>
      <c r="K2" s="78">
        <f>J29</f>
        <v>0.54597701149425293</v>
      </c>
      <c r="L2" s="78">
        <f>J30</f>
        <v>0.47429519071310117</v>
      </c>
      <c r="M2" s="79">
        <f>J31</f>
        <v>0.45500848896434637</v>
      </c>
      <c r="N2" s="80">
        <f>AVERAGE(L2:M2)</f>
        <v>0.46465183983872377</v>
      </c>
    </row>
    <row r="3" spans="1:16" x14ac:dyDescent="0.25">
      <c r="A3" s="109" t="s">
        <v>41</v>
      </c>
      <c r="B3" s="72">
        <f>SUM(B23:B25)</f>
        <v>140</v>
      </c>
      <c r="C3" s="72">
        <f t="shared" ref="C3" si="1">SUM(C23:C25)</f>
        <v>118</v>
      </c>
      <c r="D3" s="73">
        <f>SUM(D23:D25)</f>
        <v>139</v>
      </c>
      <c r="G3" s="114" t="s">
        <v>41</v>
      </c>
      <c r="H3" s="77">
        <f>B3/B30</f>
        <v>0.31531531531531531</v>
      </c>
      <c r="I3" s="77">
        <f>C3/C30</f>
        <v>0.30490956072351422</v>
      </c>
      <c r="J3" s="77">
        <f>D3/SUM(D$2:D$4)</f>
        <v>0.28659793814432988</v>
      </c>
      <c r="K3" s="78">
        <f>SUM(F37:F39)*K$6</f>
        <v>0.29577431201411741</v>
      </c>
      <c r="L3" s="78">
        <f>SUM(G37:G39)*L$6</f>
        <v>0.33830845771144274</v>
      </c>
      <c r="M3" s="78">
        <f>SUM(H37:H39)*M$6</f>
        <v>0.34747780904957781</v>
      </c>
      <c r="N3" s="80">
        <f t="shared" ref="N3:N6" si="2">AVERAGE(L3:M3)</f>
        <v>0.34289313338051031</v>
      </c>
    </row>
    <row r="4" spans="1:16" x14ac:dyDescent="0.25">
      <c r="A4" s="110" t="s">
        <v>40</v>
      </c>
      <c r="B4" s="75">
        <f>SUM(B26:B28)</f>
        <v>112</v>
      </c>
      <c r="C4" s="75">
        <f t="shared" ref="C4" si="3">SUM(C26:C28)</f>
        <v>66</v>
      </c>
      <c r="D4" s="76">
        <f>SUM(D26:D28)</f>
        <v>65</v>
      </c>
      <c r="G4" s="114" t="s">
        <v>40</v>
      </c>
      <c r="H4" s="77">
        <f>1-H2-H3</f>
        <v>0.26351351351351349</v>
      </c>
      <c r="I4" s="77">
        <f>C4/C30</f>
        <v>0.17054263565891473</v>
      </c>
      <c r="J4" s="77">
        <f>D4/SUM(D$2:D$4)</f>
        <v>0.13402061855670103</v>
      </c>
      <c r="K4" s="78">
        <f>F40*K$6</f>
        <v>0.15824867649162969</v>
      </c>
      <c r="L4" s="78">
        <f>G40*L$6</f>
        <v>0.18739635157545603</v>
      </c>
      <c r="M4" s="78">
        <f>H40*M$6</f>
        <v>0.19751370198607579</v>
      </c>
      <c r="N4" s="80">
        <f t="shared" si="2"/>
        <v>0.19245502678076593</v>
      </c>
    </row>
    <row r="5" spans="1:16" x14ac:dyDescent="0.25">
      <c r="G5" s="109"/>
      <c r="H5" s="72"/>
      <c r="I5" s="72"/>
      <c r="J5" s="72"/>
      <c r="K5" s="79"/>
      <c r="L5" s="79"/>
      <c r="M5" s="78">
        <f>SUM(M2:M4)</f>
        <v>1</v>
      </c>
      <c r="N5" s="80">
        <f>SUM(N2:N4)</f>
        <v>1</v>
      </c>
    </row>
    <row r="6" spans="1:16" x14ac:dyDescent="0.25">
      <c r="G6" s="115" t="s">
        <v>98</v>
      </c>
      <c r="H6" s="81">
        <f>1-H2</f>
        <v>0.5788288288288288</v>
      </c>
      <c r="I6" s="81">
        <f>1-I2</f>
        <v>0.47803617571059431</v>
      </c>
      <c r="J6" s="81">
        <f t="shared" ref="J6" si="4">1-J2</f>
        <v>0.42061855670103088</v>
      </c>
      <c r="K6" s="81">
        <f>1-K2</f>
        <v>0.45402298850574707</v>
      </c>
      <c r="L6" s="81">
        <f t="shared" ref="L6:M6" si="5">1-L2</f>
        <v>0.52570480928689878</v>
      </c>
      <c r="M6" s="81">
        <f t="shared" si="5"/>
        <v>0.54499151103565358</v>
      </c>
      <c r="N6" s="82">
        <f t="shared" si="2"/>
        <v>0.53534816016127618</v>
      </c>
    </row>
    <row r="7" spans="1:16" x14ac:dyDescent="0.25">
      <c r="G7" s="54"/>
      <c r="H7" s="56"/>
      <c r="I7" s="56"/>
      <c r="J7" s="56"/>
      <c r="K7" s="56"/>
      <c r="L7" s="56"/>
      <c r="M7" s="56"/>
      <c r="N7" s="56"/>
    </row>
    <row r="8" spans="1:16" x14ac:dyDescent="0.25">
      <c r="B8" s="20"/>
      <c r="C8" s="20"/>
      <c r="D8" s="20"/>
      <c r="E8" s="20"/>
      <c r="F8" s="20"/>
      <c r="G8" s="20"/>
      <c r="K8" s="56"/>
    </row>
    <row r="9" spans="1:16" s="21" customFormat="1" x14ac:dyDescent="0.25">
      <c r="A9" s="68" t="s">
        <v>285</v>
      </c>
      <c r="B9" s="69"/>
      <c r="C9" s="69"/>
      <c r="D9" s="69"/>
      <c r="E9" s="69"/>
      <c r="F9" s="69"/>
      <c r="G9" s="70"/>
      <c r="I9" s="68" t="s">
        <v>286</v>
      </c>
      <c r="J9" s="69"/>
      <c r="K9" s="69"/>
      <c r="L9" s="69"/>
      <c r="M9" s="69"/>
      <c r="N9" s="69"/>
      <c r="O9" s="69"/>
      <c r="P9" s="70"/>
    </row>
    <row r="10" spans="1:16" s="21" customFormat="1" x14ac:dyDescent="0.25">
      <c r="A10" s="111" t="s">
        <v>18</v>
      </c>
      <c r="B10" s="112" t="s">
        <v>24</v>
      </c>
      <c r="C10" s="112" t="s">
        <v>25</v>
      </c>
      <c r="D10" s="112" t="s">
        <v>33</v>
      </c>
      <c r="E10" s="112" t="s">
        <v>34</v>
      </c>
      <c r="F10" s="112" t="s">
        <v>35</v>
      </c>
      <c r="G10" s="113" t="s">
        <v>36</v>
      </c>
      <c r="I10" s="111" t="s">
        <v>18</v>
      </c>
      <c r="J10" s="112" t="s">
        <v>101</v>
      </c>
      <c r="K10" s="112" t="s">
        <v>56</v>
      </c>
      <c r="L10" s="112" t="s">
        <v>99</v>
      </c>
      <c r="M10" s="112" t="s">
        <v>280</v>
      </c>
      <c r="N10" s="112" t="s">
        <v>281</v>
      </c>
      <c r="O10" s="112" t="s">
        <v>282</v>
      </c>
      <c r="P10" s="113" t="s">
        <v>284</v>
      </c>
    </row>
    <row r="11" spans="1:16" x14ac:dyDescent="0.25">
      <c r="A11" s="109" t="s">
        <v>19</v>
      </c>
      <c r="B11" s="72">
        <f>B23</f>
        <v>67</v>
      </c>
      <c r="C11" s="72">
        <f t="shared" ref="C11" si="6">C23</f>
        <v>67</v>
      </c>
      <c r="D11" s="72">
        <f>D23</f>
        <v>86</v>
      </c>
      <c r="E11" s="72">
        <f>E23</f>
        <v>94</v>
      </c>
      <c r="F11" s="72">
        <f>F23</f>
        <v>120</v>
      </c>
      <c r="G11" s="73">
        <f>G23</f>
        <v>110</v>
      </c>
      <c r="I11" s="109" t="s">
        <v>19</v>
      </c>
      <c r="J11" s="77">
        <f t="shared" ref="J11:O13" si="7">B11/SUM(B$11:B$13)</f>
        <v>0.47857142857142859</v>
      </c>
      <c r="K11" s="77">
        <f t="shared" si="7"/>
        <v>0.56779661016949157</v>
      </c>
      <c r="L11" s="77">
        <f t="shared" si="7"/>
        <v>0.61870503597122306</v>
      </c>
      <c r="M11" s="77">
        <f t="shared" si="7"/>
        <v>0.59872611464968151</v>
      </c>
      <c r="N11" s="77">
        <f t="shared" si="7"/>
        <v>0.58823529411764708</v>
      </c>
      <c r="O11" s="77">
        <f t="shared" si="7"/>
        <v>0.57894736842105265</v>
      </c>
      <c r="P11" s="80">
        <f>AVERAGE(N11:O11)</f>
        <v>0.58359133126934992</v>
      </c>
    </row>
    <row r="12" spans="1:16" x14ac:dyDescent="0.25">
      <c r="A12" s="109" t="s">
        <v>20</v>
      </c>
      <c r="B12" s="72">
        <f t="shared" ref="B12:D13" si="8">B24</f>
        <v>29</v>
      </c>
      <c r="C12" s="72">
        <f t="shared" si="8"/>
        <v>20</v>
      </c>
      <c r="D12" s="72">
        <f t="shared" si="8"/>
        <v>6</v>
      </c>
      <c r="E12" s="72">
        <f t="shared" ref="E12:F12" si="9">E24</f>
        <v>0</v>
      </c>
      <c r="F12" s="72">
        <f t="shared" si="9"/>
        <v>0</v>
      </c>
      <c r="G12" s="73">
        <f t="shared" ref="G12" si="10">G24</f>
        <v>0</v>
      </c>
      <c r="I12" s="109" t="s">
        <v>20</v>
      </c>
      <c r="J12" s="77">
        <f t="shared" si="7"/>
        <v>0.20714285714285716</v>
      </c>
      <c r="K12" s="77">
        <f t="shared" si="7"/>
        <v>0.16949152542372881</v>
      </c>
      <c r="L12" s="77">
        <f t="shared" si="7"/>
        <v>4.3165467625899283E-2</v>
      </c>
      <c r="M12" s="77">
        <f t="shared" si="7"/>
        <v>0</v>
      </c>
      <c r="N12" s="77">
        <f t="shared" si="7"/>
        <v>0</v>
      </c>
      <c r="O12" s="77">
        <f t="shared" si="7"/>
        <v>0</v>
      </c>
      <c r="P12" s="80">
        <f t="shared" ref="P12:P13" si="11">AVERAGE(N12:O12)</f>
        <v>0</v>
      </c>
    </row>
    <row r="13" spans="1:16" x14ac:dyDescent="0.25">
      <c r="A13" s="110" t="s">
        <v>21</v>
      </c>
      <c r="B13" s="75">
        <f t="shared" si="8"/>
        <v>44</v>
      </c>
      <c r="C13" s="75">
        <f t="shared" si="8"/>
        <v>31</v>
      </c>
      <c r="D13" s="75">
        <f>D25</f>
        <v>47</v>
      </c>
      <c r="E13" s="75">
        <f>E25</f>
        <v>63</v>
      </c>
      <c r="F13" s="75">
        <f>F25</f>
        <v>84</v>
      </c>
      <c r="G13" s="76">
        <f>G25</f>
        <v>80</v>
      </c>
      <c r="I13" s="110" t="s">
        <v>21</v>
      </c>
      <c r="J13" s="84">
        <f t="shared" si="7"/>
        <v>0.31428571428571428</v>
      </c>
      <c r="K13" s="84">
        <f t="shared" si="7"/>
        <v>0.26271186440677968</v>
      </c>
      <c r="L13" s="84">
        <f t="shared" si="7"/>
        <v>0.33812949640287771</v>
      </c>
      <c r="M13" s="84">
        <f t="shared" si="7"/>
        <v>0.40127388535031849</v>
      </c>
      <c r="N13" s="84">
        <f t="shared" si="7"/>
        <v>0.41176470588235292</v>
      </c>
      <c r="O13" s="84">
        <f t="shared" si="7"/>
        <v>0.42105263157894735</v>
      </c>
      <c r="P13" s="82">
        <f t="shared" si="11"/>
        <v>0.41640866873065013</v>
      </c>
    </row>
    <row r="16" spans="1:16" x14ac:dyDescent="0.25">
      <c r="I16" s="111" t="s">
        <v>131</v>
      </c>
      <c r="J16" s="116"/>
      <c r="K16" s="54"/>
      <c r="L16" s="68" t="s">
        <v>132</v>
      </c>
      <c r="M16" s="108"/>
    </row>
    <row r="17" spans="1:13" x14ac:dyDescent="0.25">
      <c r="I17" s="109" t="s">
        <v>130</v>
      </c>
      <c r="J17" s="105">
        <f>159/260</f>
        <v>0.61153846153846159</v>
      </c>
      <c r="L17" s="71" t="s">
        <v>130</v>
      </c>
      <c r="M17" s="105">
        <v>0.27050898203592799</v>
      </c>
    </row>
    <row r="18" spans="1:13" x14ac:dyDescent="0.25">
      <c r="I18" s="109" t="s">
        <v>129</v>
      </c>
      <c r="J18" s="105">
        <f>149/238</f>
        <v>0.62605042016806722</v>
      </c>
      <c r="L18" s="71" t="s">
        <v>129</v>
      </c>
      <c r="M18" s="105">
        <v>0.23585632804069601</v>
      </c>
    </row>
    <row r="19" spans="1:13" x14ac:dyDescent="0.25">
      <c r="A19" s="85"/>
      <c r="B19" s="86" t="s">
        <v>24</v>
      </c>
      <c r="C19" s="86" t="s">
        <v>25</v>
      </c>
      <c r="D19" s="86" t="s">
        <v>33</v>
      </c>
      <c r="E19" s="86" t="s">
        <v>34</v>
      </c>
      <c r="F19" s="86" t="s">
        <v>35</v>
      </c>
      <c r="G19" s="87" t="s">
        <v>36</v>
      </c>
      <c r="I19" s="109" t="s">
        <v>128</v>
      </c>
      <c r="J19" s="105">
        <f>130/226</f>
        <v>0.5752212389380531</v>
      </c>
      <c r="L19" s="71" t="s">
        <v>128</v>
      </c>
      <c r="M19" s="105">
        <v>0.20892994611239399</v>
      </c>
    </row>
    <row r="20" spans="1:13" x14ac:dyDescent="0.25">
      <c r="A20" s="88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277</v>
      </c>
      <c r="G20" s="89" t="s">
        <v>278</v>
      </c>
      <c r="I20" s="109" t="s">
        <v>127</v>
      </c>
      <c r="J20" s="105">
        <f>129/221</f>
        <v>0.58371040723981904</v>
      </c>
      <c r="L20" s="71" t="s">
        <v>127</v>
      </c>
      <c r="M20" s="105">
        <v>0.20620373107808199</v>
      </c>
    </row>
    <row r="21" spans="1:13" ht="15.75" thickBot="1" x14ac:dyDescent="0.3">
      <c r="A21" s="90"/>
      <c r="B21" s="52"/>
      <c r="C21" s="52"/>
      <c r="D21" s="52"/>
      <c r="E21" s="53"/>
      <c r="F21" s="53"/>
      <c r="G21" s="89"/>
      <c r="I21" s="109" t="s">
        <v>126</v>
      </c>
      <c r="J21" s="105">
        <f>134/268</f>
        <v>0.5</v>
      </c>
      <c r="L21" s="71" t="s">
        <v>126</v>
      </c>
      <c r="M21" s="105">
        <v>0.19665612655044701</v>
      </c>
    </row>
    <row r="22" spans="1:13" x14ac:dyDescent="0.25">
      <c r="A22" s="91" t="s">
        <v>81</v>
      </c>
      <c r="B22" s="92">
        <v>187</v>
      </c>
      <c r="C22" s="92">
        <v>202</v>
      </c>
      <c r="D22" s="92">
        <v>267</v>
      </c>
      <c r="E22" s="92">
        <v>285</v>
      </c>
      <c r="F22" s="92">
        <v>286</v>
      </c>
      <c r="G22" s="93">
        <v>268</v>
      </c>
      <c r="I22" s="109" t="s">
        <v>125</v>
      </c>
      <c r="J22" s="105">
        <f>131/274</f>
        <v>0.47810218978102192</v>
      </c>
      <c r="L22" s="71" t="s">
        <v>125</v>
      </c>
      <c r="M22" s="105">
        <v>0.15717666970039801</v>
      </c>
    </row>
    <row r="23" spans="1:13" x14ac:dyDescent="0.25">
      <c r="A23" s="94" t="s">
        <v>82</v>
      </c>
      <c r="B23" s="95">
        <v>67</v>
      </c>
      <c r="C23" s="95">
        <v>67</v>
      </c>
      <c r="D23" s="95">
        <v>86</v>
      </c>
      <c r="E23" s="95">
        <v>94</v>
      </c>
      <c r="F23" s="95">
        <v>120</v>
      </c>
      <c r="G23" s="96">
        <v>110</v>
      </c>
      <c r="I23" s="109" t="s">
        <v>95</v>
      </c>
      <c r="J23" s="106">
        <v>0.57299999999999995</v>
      </c>
      <c r="L23" s="71" t="s">
        <v>95</v>
      </c>
      <c r="M23" s="105">
        <v>0.18624995492834301</v>
      </c>
    </row>
    <row r="24" spans="1:13" x14ac:dyDescent="0.25">
      <c r="A24" s="94" t="s">
        <v>83</v>
      </c>
      <c r="B24" s="95">
        <v>29</v>
      </c>
      <c r="C24" s="95">
        <v>20</v>
      </c>
      <c r="D24" s="95">
        <v>6</v>
      </c>
      <c r="E24" s="95">
        <v>0</v>
      </c>
      <c r="F24" s="95">
        <v>0</v>
      </c>
      <c r="G24" s="96">
        <v>0</v>
      </c>
      <c r="I24" s="109" t="s">
        <v>22</v>
      </c>
      <c r="J24" s="106">
        <f>152/279</f>
        <v>0.54480286738351258</v>
      </c>
      <c r="L24" s="71" t="s">
        <v>22</v>
      </c>
      <c r="M24" s="105">
        <v>0.19847510811337099</v>
      </c>
    </row>
    <row r="25" spans="1:13" x14ac:dyDescent="0.25">
      <c r="A25" s="94" t="s">
        <v>84</v>
      </c>
      <c r="B25" s="95">
        <v>44</v>
      </c>
      <c r="C25" s="95">
        <v>31</v>
      </c>
      <c r="D25" s="95">
        <v>47</v>
      </c>
      <c r="E25" s="95">
        <v>63</v>
      </c>
      <c r="F25" s="95">
        <v>84</v>
      </c>
      <c r="G25" s="96">
        <v>80</v>
      </c>
      <c r="I25" s="109" t="s">
        <v>23</v>
      </c>
      <c r="J25" s="106">
        <f>219/593</f>
        <v>0.36930860033726814</v>
      </c>
      <c r="L25" s="71" t="s">
        <v>23</v>
      </c>
      <c r="M25" s="105">
        <v>0.19715139659418199</v>
      </c>
    </row>
    <row r="26" spans="1:13" x14ac:dyDescent="0.25">
      <c r="A26" s="94" t="s">
        <v>85</v>
      </c>
      <c r="B26" s="95">
        <v>79</v>
      </c>
      <c r="C26" s="95">
        <v>52</v>
      </c>
      <c r="D26" s="95">
        <v>47</v>
      </c>
      <c r="E26" s="95">
        <v>63</v>
      </c>
      <c r="F26" s="95">
        <v>84</v>
      </c>
      <c r="G26" s="96">
        <v>80</v>
      </c>
      <c r="I26" s="109" t="s">
        <v>24</v>
      </c>
      <c r="J26" s="106">
        <f>187/444</f>
        <v>0.42117117117117114</v>
      </c>
      <c r="K26" s="62"/>
      <c r="L26" s="71" t="s">
        <v>24</v>
      </c>
      <c r="M26" s="105">
        <v>0.15202055927990599</v>
      </c>
    </row>
    <row r="27" spans="1:13" x14ac:dyDescent="0.25">
      <c r="A27" s="94" t="s">
        <v>86</v>
      </c>
      <c r="B27" s="95">
        <v>28</v>
      </c>
      <c r="C27" s="95">
        <v>14</v>
      </c>
      <c r="D27" s="95">
        <v>14</v>
      </c>
      <c r="E27" s="95">
        <v>17</v>
      </c>
      <c r="F27" s="95">
        <v>24</v>
      </c>
      <c r="G27" s="96">
        <v>24</v>
      </c>
      <c r="I27" s="109" t="s">
        <v>25</v>
      </c>
      <c r="J27" s="106">
        <f>202/387</f>
        <v>0.52196382428940569</v>
      </c>
      <c r="K27" s="62"/>
      <c r="L27" s="74" t="s">
        <v>25</v>
      </c>
      <c r="M27" s="107">
        <v>0.16064934816805601</v>
      </c>
    </row>
    <row r="28" spans="1:13" x14ac:dyDescent="0.25">
      <c r="A28" s="94" t="s">
        <v>87</v>
      </c>
      <c r="B28" s="95">
        <v>5</v>
      </c>
      <c r="C28" s="95" t="s">
        <v>88</v>
      </c>
      <c r="D28" s="95">
        <v>4</v>
      </c>
      <c r="E28" s="95">
        <v>4</v>
      </c>
      <c r="F28" s="95">
        <v>5</v>
      </c>
      <c r="G28" s="96">
        <v>4</v>
      </c>
      <c r="I28" s="109" t="s">
        <v>33</v>
      </c>
      <c r="J28" s="106">
        <f>D22/D30</f>
        <v>0.56687898089171973</v>
      </c>
      <c r="K28" s="62"/>
    </row>
    <row r="29" spans="1:13" x14ac:dyDescent="0.25">
      <c r="A29" s="97" t="s">
        <v>89</v>
      </c>
      <c r="B29" s="92">
        <v>258</v>
      </c>
      <c r="C29" s="92">
        <v>185</v>
      </c>
      <c r="D29" s="92">
        <v>204</v>
      </c>
      <c r="E29" s="92">
        <v>241</v>
      </c>
      <c r="F29" s="92">
        <v>317</v>
      </c>
      <c r="G29" s="93">
        <v>298</v>
      </c>
      <c r="I29" s="109" t="s">
        <v>34</v>
      </c>
      <c r="J29" s="105">
        <f>E22/SUM(E22:E27)</f>
        <v>0.54597701149425293</v>
      </c>
    </row>
    <row r="30" spans="1:13" x14ac:dyDescent="0.25">
      <c r="A30" s="98" t="s">
        <v>90</v>
      </c>
      <c r="B30" s="99">
        <v>444</v>
      </c>
      <c r="C30" s="99">
        <v>387</v>
      </c>
      <c r="D30" s="99">
        <v>471</v>
      </c>
      <c r="E30" s="99">
        <v>526</v>
      </c>
      <c r="F30" s="99">
        <v>603</v>
      </c>
      <c r="G30" s="100">
        <v>589</v>
      </c>
      <c r="I30" s="109" t="s">
        <v>35</v>
      </c>
      <c r="J30" s="105">
        <f>F22/F30</f>
        <v>0.47429519071310117</v>
      </c>
      <c r="K30" s="20"/>
    </row>
    <row r="31" spans="1:13" x14ac:dyDescent="0.25">
      <c r="I31" s="110" t="s">
        <v>36</v>
      </c>
      <c r="J31" s="107">
        <f>G22/G30</f>
        <v>0.45500848896434637</v>
      </c>
    </row>
    <row r="32" spans="1:13" x14ac:dyDescent="0.25">
      <c r="I32" t="s">
        <v>287</v>
      </c>
      <c r="J32" s="20">
        <f>AVERAGE(J29:J31)</f>
        <v>0.49176023039056682</v>
      </c>
    </row>
    <row r="36" spans="1:17" x14ac:dyDescent="0.25">
      <c r="A36" s="68" t="s">
        <v>91</v>
      </c>
      <c r="B36" s="69" t="s">
        <v>23</v>
      </c>
      <c r="C36" s="69" t="s">
        <v>94</v>
      </c>
      <c r="D36" s="69" t="s">
        <v>93</v>
      </c>
      <c r="E36" s="69" t="s">
        <v>92</v>
      </c>
      <c r="F36" s="69" t="s">
        <v>203</v>
      </c>
      <c r="G36" s="69" t="s">
        <v>276</v>
      </c>
      <c r="H36" s="70" t="s">
        <v>279</v>
      </c>
    </row>
    <row r="37" spans="1:17" x14ac:dyDescent="0.25">
      <c r="A37" s="71" t="s">
        <v>82</v>
      </c>
      <c r="B37" s="101">
        <v>0.34491978609625668</v>
      </c>
      <c r="C37" s="101">
        <v>0.2627450980392157</v>
      </c>
      <c r="D37" s="101">
        <v>0.3641304347826087</v>
      </c>
      <c r="E37" s="101">
        <f>D23/D29</f>
        <v>0.42156862745098039</v>
      </c>
      <c r="F37" s="101">
        <f>E23/E29</f>
        <v>0.39004149377593361</v>
      </c>
      <c r="G37" s="101">
        <f>F23/F29</f>
        <v>0.37854889589905361</v>
      </c>
      <c r="H37" s="102">
        <f>G23/G29</f>
        <v>0.36912751677852351</v>
      </c>
      <c r="M37" s="55"/>
      <c r="N37" s="55"/>
    </row>
    <row r="38" spans="1:17" x14ac:dyDescent="0.25">
      <c r="A38" s="71" t="s">
        <v>83</v>
      </c>
      <c r="B38" s="101">
        <v>0.1497326203208556</v>
      </c>
      <c r="C38" s="101">
        <v>0.11372549019607843</v>
      </c>
      <c r="D38" s="101">
        <v>0.10869565217391304</v>
      </c>
      <c r="E38" s="101">
        <f>D24/D29</f>
        <v>2.9411764705882353E-2</v>
      </c>
      <c r="F38" s="101">
        <f>E24/E29</f>
        <v>0</v>
      </c>
      <c r="G38" s="101">
        <f>F24/F29</f>
        <v>0</v>
      </c>
      <c r="H38" s="102">
        <f>G24/G29</f>
        <v>0</v>
      </c>
      <c r="M38" s="55"/>
      <c r="N38" s="55"/>
    </row>
    <row r="39" spans="1:17" x14ac:dyDescent="0.25">
      <c r="A39" s="71" t="s">
        <v>84</v>
      </c>
      <c r="B39" s="101">
        <v>0.21925133689839571</v>
      </c>
      <c r="C39" s="101">
        <v>0.15686274509803921</v>
      </c>
      <c r="D39" s="101">
        <v>0.16847826086956522</v>
      </c>
      <c r="E39" s="101">
        <f>D25/D29</f>
        <v>0.23039215686274508</v>
      </c>
      <c r="F39" s="101">
        <f>E25/E29</f>
        <v>0.26141078838174275</v>
      </c>
      <c r="G39" s="101">
        <f>F25/F29</f>
        <v>0.26498422712933756</v>
      </c>
      <c r="H39" s="102">
        <f>G25/G29</f>
        <v>0.26845637583892618</v>
      </c>
      <c r="M39" s="55"/>
      <c r="N39" s="55"/>
    </row>
    <row r="40" spans="1:17" x14ac:dyDescent="0.25">
      <c r="A40" s="71" t="s">
        <v>96</v>
      </c>
      <c r="B40" s="101">
        <v>0.28609625668449196</v>
      </c>
      <c r="C40" s="101">
        <v>0.46666666666666667</v>
      </c>
      <c r="D40" s="101">
        <v>0.35869565217391303</v>
      </c>
      <c r="E40" s="101">
        <f>SUM(D26:D28)/D29</f>
        <v>0.31862745098039214</v>
      </c>
      <c r="F40" s="101">
        <f>SUM(E26:E28)/E29</f>
        <v>0.34854771784232363</v>
      </c>
      <c r="G40" s="101">
        <f>SUM(F26:F28)/F29</f>
        <v>0.35646687697160884</v>
      </c>
      <c r="H40" s="102">
        <f>SUM(G26:G28)/G29</f>
        <v>0.36241610738255031</v>
      </c>
      <c r="M40" s="55"/>
      <c r="N40" s="55"/>
      <c r="Q40" s="66"/>
    </row>
    <row r="41" spans="1:17" x14ac:dyDescent="0.25">
      <c r="A41" s="74"/>
      <c r="B41" s="75"/>
      <c r="C41" s="75"/>
      <c r="D41" s="75"/>
      <c r="E41" s="103">
        <f>SUM(E37:E40)</f>
        <v>1</v>
      </c>
      <c r="F41" s="103">
        <f>SUM(F37:F40)</f>
        <v>1</v>
      </c>
      <c r="G41" s="103">
        <f>SUM(G37:G40)</f>
        <v>1</v>
      </c>
      <c r="H41" s="104">
        <f>SUM(H37:H40)</f>
        <v>1</v>
      </c>
    </row>
    <row r="43" spans="1:17" x14ac:dyDescent="0.2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5" x14ac:dyDescent="0.25"/>
  <cols>
    <col min="1" max="1" width="41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124" t="s">
        <v>38</v>
      </c>
      <c r="B1" s="112" t="s">
        <v>24</v>
      </c>
      <c r="C1" s="112" t="s">
        <v>25</v>
      </c>
      <c r="D1" s="112" t="s">
        <v>33</v>
      </c>
      <c r="E1" s="112" t="s">
        <v>34</v>
      </c>
      <c r="F1" s="112" t="s">
        <v>35</v>
      </c>
      <c r="G1" s="112" t="s">
        <v>36</v>
      </c>
      <c r="H1" s="112" t="s">
        <v>37</v>
      </c>
      <c r="I1" s="112" t="s">
        <v>76</v>
      </c>
      <c r="J1" s="112" t="s">
        <v>77</v>
      </c>
      <c r="K1" s="113" t="s">
        <v>78</v>
      </c>
    </row>
    <row r="2" spans="1:15" x14ac:dyDescent="0.25">
      <c r="A2" s="117" t="s">
        <v>39</v>
      </c>
      <c r="B2" s="118">
        <f>Decomposition!H2</f>
        <v>0.42117117117117114</v>
      </c>
      <c r="C2" s="118">
        <f>Decomposition!I2</f>
        <v>0.52196382428940569</v>
      </c>
      <c r="D2" s="118">
        <f>Decomposition!J2</f>
        <v>0.57938144329896912</v>
      </c>
      <c r="E2" s="118">
        <f>Decomposition!K2</f>
        <v>0.54597701149425293</v>
      </c>
      <c r="F2" s="118">
        <f>Decomposition!L2</f>
        <v>0.47429519071310117</v>
      </c>
      <c r="G2" s="118">
        <f>Decomposition!M2</f>
        <v>0.45500848896434637</v>
      </c>
      <c r="H2" s="118">
        <f>Decomposition!N2</f>
        <v>0.46465183983872377</v>
      </c>
      <c r="I2" s="118">
        <f t="shared" ref="I2:K2" si="0">H2</f>
        <v>0.46465183983872377</v>
      </c>
      <c r="J2" s="118">
        <f t="shared" si="0"/>
        <v>0.46465183983872377</v>
      </c>
      <c r="K2" s="119">
        <f t="shared" si="0"/>
        <v>0.46465183983872377</v>
      </c>
      <c r="L2" s="47"/>
      <c r="M2" s="47"/>
      <c r="N2" s="47"/>
    </row>
    <row r="3" spans="1:15" x14ac:dyDescent="0.25">
      <c r="A3" s="117" t="s">
        <v>40</v>
      </c>
      <c r="B3" s="120">
        <f>Decomposition!H4</f>
        <v>0.26351351351351349</v>
      </c>
      <c r="C3" s="120">
        <f>Decomposition!I4</f>
        <v>0.17054263565891473</v>
      </c>
      <c r="D3" s="120">
        <f>Decomposition!J4</f>
        <v>0.13402061855670103</v>
      </c>
      <c r="E3" s="120">
        <f>Decomposition!K4</f>
        <v>0.15824867649162969</v>
      </c>
      <c r="F3" s="120">
        <f>Decomposition!L4</f>
        <v>0.18739635157545603</v>
      </c>
      <c r="G3" s="120">
        <f>Decomposition!M4</f>
        <v>0.19751370198607579</v>
      </c>
      <c r="H3" s="120">
        <f>Decomposition!N4</f>
        <v>0.19245502678076593</v>
      </c>
      <c r="I3" s="118">
        <f t="shared" ref="I3:K4" si="1">H3</f>
        <v>0.19245502678076593</v>
      </c>
      <c r="J3" s="118">
        <f t="shared" si="1"/>
        <v>0.19245502678076593</v>
      </c>
      <c r="K3" s="119">
        <f t="shared" si="1"/>
        <v>0.19245502678076593</v>
      </c>
      <c r="L3" s="47"/>
      <c r="M3" s="47"/>
      <c r="N3" s="47"/>
    </row>
    <row r="4" spans="1:15" x14ac:dyDescent="0.25">
      <c r="A4" s="121" t="s">
        <v>41</v>
      </c>
      <c r="B4" s="122">
        <f>Decomposition!H3</f>
        <v>0.31531531531531531</v>
      </c>
      <c r="C4" s="122">
        <f>Decomposition!I3</f>
        <v>0.30490956072351422</v>
      </c>
      <c r="D4" s="122">
        <f>Decomposition!J3</f>
        <v>0.28659793814432988</v>
      </c>
      <c r="E4" s="122">
        <f>Decomposition!K3</f>
        <v>0.29577431201411741</v>
      </c>
      <c r="F4" s="122">
        <f>Decomposition!L3</f>
        <v>0.33830845771144274</v>
      </c>
      <c r="G4" s="122">
        <f>Decomposition!M3</f>
        <v>0.34747780904957781</v>
      </c>
      <c r="H4" s="122">
        <f>Decomposition!N3</f>
        <v>0.34289313338051031</v>
      </c>
      <c r="I4" s="122">
        <f t="shared" si="1"/>
        <v>0.34289313338051031</v>
      </c>
      <c r="J4" s="122">
        <f t="shared" si="1"/>
        <v>0.34289313338051031</v>
      </c>
      <c r="K4" s="123">
        <f t="shared" si="1"/>
        <v>0.34289313338051031</v>
      </c>
      <c r="L4" s="47"/>
      <c r="M4" s="47"/>
      <c r="N4" s="47"/>
    </row>
    <row r="5" spans="1:15" x14ac:dyDescent="0.2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124" t="s">
        <v>100</v>
      </c>
      <c r="B6" s="112" t="s">
        <v>24</v>
      </c>
      <c r="C6" s="112" t="s">
        <v>25</v>
      </c>
      <c r="D6" s="112" t="s">
        <v>33</v>
      </c>
      <c r="E6" s="112" t="s">
        <v>34</v>
      </c>
      <c r="F6" s="112" t="s">
        <v>35</v>
      </c>
      <c r="G6" s="112" t="s">
        <v>36</v>
      </c>
      <c r="H6" s="112" t="s">
        <v>37</v>
      </c>
      <c r="I6" s="112" t="s">
        <v>76</v>
      </c>
      <c r="J6" s="112" t="s">
        <v>77</v>
      </c>
      <c r="K6" s="113" t="s">
        <v>78</v>
      </c>
    </row>
    <row r="7" spans="1:15" x14ac:dyDescent="0.25">
      <c r="A7" s="117" t="s">
        <v>82</v>
      </c>
      <c r="B7" s="118">
        <f>Decomposition!J11</f>
        <v>0.47857142857142859</v>
      </c>
      <c r="C7" s="118">
        <f>Decomposition!K11</f>
        <v>0.56779661016949157</v>
      </c>
      <c r="D7" s="118">
        <f>Decomposition!L11</f>
        <v>0.61870503597122306</v>
      </c>
      <c r="E7" s="118">
        <f>Decomposition!M11</f>
        <v>0.59872611464968151</v>
      </c>
      <c r="F7" s="118">
        <f>Decomposition!N11</f>
        <v>0.58823529411764708</v>
      </c>
      <c r="G7" s="118">
        <f>Decomposition!O11</f>
        <v>0.57894736842105265</v>
      </c>
      <c r="H7" s="118">
        <f>Decomposition!P11</f>
        <v>0.58359133126934992</v>
      </c>
      <c r="I7" s="118">
        <f t="shared" ref="I7:K7" si="2">H7</f>
        <v>0.58359133126934992</v>
      </c>
      <c r="J7" s="118">
        <f t="shared" si="2"/>
        <v>0.58359133126934992</v>
      </c>
      <c r="K7" s="119">
        <f t="shared" si="2"/>
        <v>0.58359133126934992</v>
      </c>
      <c r="L7" s="47"/>
      <c r="M7" s="47"/>
      <c r="N7" s="47"/>
    </row>
    <row r="8" spans="1:15" x14ac:dyDescent="0.25">
      <c r="A8" s="117" t="s">
        <v>83</v>
      </c>
      <c r="B8" s="118">
        <f>Decomposition!J12</f>
        <v>0.20714285714285716</v>
      </c>
      <c r="C8" s="118">
        <f>Decomposition!K12</f>
        <v>0.16949152542372881</v>
      </c>
      <c r="D8" s="118">
        <f>Decomposition!L12</f>
        <v>4.3165467625899283E-2</v>
      </c>
      <c r="E8" s="118">
        <f>Decomposition!M12</f>
        <v>0</v>
      </c>
      <c r="F8" s="118">
        <f>Decomposition!N12</f>
        <v>0</v>
      </c>
      <c r="G8" s="118">
        <f>Decomposition!O12</f>
        <v>0</v>
      </c>
      <c r="H8" s="118">
        <f>Decomposition!P12</f>
        <v>0</v>
      </c>
      <c r="I8" s="118">
        <f t="shared" ref="I8:K9" si="3">H8</f>
        <v>0</v>
      </c>
      <c r="J8" s="118">
        <f t="shared" si="3"/>
        <v>0</v>
      </c>
      <c r="K8" s="119">
        <f t="shared" si="3"/>
        <v>0</v>
      </c>
      <c r="L8" s="47"/>
      <c r="M8" s="47"/>
      <c r="N8" s="47"/>
    </row>
    <row r="9" spans="1:15" x14ac:dyDescent="0.25">
      <c r="A9" s="121" t="s">
        <v>84</v>
      </c>
      <c r="B9" s="122">
        <f>Decomposition!J13</f>
        <v>0.31428571428571428</v>
      </c>
      <c r="C9" s="122">
        <f>Decomposition!K13</f>
        <v>0.26271186440677968</v>
      </c>
      <c r="D9" s="122">
        <f>Decomposition!L13</f>
        <v>0.33812949640287771</v>
      </c>
      <c r="E9" s="122">
        <f>Decomposition!M13</f>
        <v>0.40127388535031849</v>
      </c>
      <c r="F9" s="122">
        <f>Decomposition!N13</f>
        <v>0.41176470588235292</v>
      </c>
      <c r="G9" s="122">
        <f>Decomposition!O13</f>
        <v>0.42105263157894735</v>
      </c>
      <c r="H9" s="122">
        <f>Decomposition!P13</f>
        <v>0.41640866873065013</v>
      </c>
      <c r="I9" s="122">
        <f t="shared" si="3"/>
        <v>0.41640866873065013</v>
      </c>
      <c r="J9" s="122">
        <f t="shared" si="3"/>
        <v>0.41640866873065013</v>
      </c>
      <c r="K9" s="123">
        <f t="shared" si="3"/>
        <v>0.41640866873065013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124" t="s">
        <v>42</v>
      </c>
      <c r="B11" s="112"/>
      <c r="C11" s="112" t="s">
        <v>25</v>
      </c>
      <c r="D11" s="112" t="s">
        <v>33</v>
      </c>
      <c r="E11" s="112" t="s">
        <v>34</v>
      </c>
      <c r="F11" s="112" t="s">
        <v>35</v>
      </c>
      <c r="G11" s="112" t="s">
        <v>36</v>
      </c>
      <c r="H11" s="112" t="s">
        <v>37</v>
      </c>
      <c r="I11" s="112" t="s">
        <v>76</v>
      </c>
      <c r="J11" s="112" t="s">
        <v>77</v>
      </c>
      <c r="K11" s="113" t="s">
        <v>78</v>
      </c>
    </row>
    <row r="12" spans="1:15" x14ac:dyDescent="0.25">
      <c r="A12" s="117" t="s">
        <v>11</v>
      </c>
      <c r="B12" s="72"/>
      <c r="C12" s="125">
        <f>AVERAGE(C31:F31)</f>
        <v>3.3884166666666626</v>
      </c>
      <c r="D12" s="125">
        <f>AVERAGE(G31:J31)</f>
        <v>4.9609999999999976</v>
      </c>
      <c r="E12" s="125">
        <f>AVERAGE(K31:N31)</f>
        <v>3.8144166666666623</v>
      </c>
      <c r="F12" s="125">
        <f>AVERAGE(O31:R31)</f>
        <v>2.4220834166666654</v>
      </c>
      <c r="G12" s="125">
        <f>AVERAGE(S31:V31)</f>
        <v>2.2000000000000002</v>
      </c>
      <c r="H12" s="125">
        <f>AVERAGE(W31:Z31)</f>
        <v>2.5750000000000002</v>
      </c>
      <c r="I12" s="125">
        <f>AVERAGE(AA31:AD31)</f>
        <v>2.7</v>
      </c>
      <c r="J12" s="125">
        <f>AVERAGE(AE31:AH31)</f>
        <v>2.7</v>
      </c>
      <c r="K12" s="126">
        <f>AVERAGE(AI31:AL31)</f>
        <v>2.7</v>
      </c>
      <c r="L12" s="24"/>
      <c r="M12" s="24"/>
      <c r="N12" s="24"/>
      <c r="O12" s="24"/>
    </row>
    <row r="13" spans="1:15" x14ac:dyDescent="0.25">
      <c r="A13" s="117" t="s">
        <v>12</v>
      </c>
      <c r="B13" s="72"/>
      <c r="C13" s="125">
        <f>AVERAGE(C29:F29)</f>
        <v>3.0449999999999977</v>
      </c>
      <c r="D13" s="125">
        <f>AVERAGE(G29:J29)</f>
        <v>3.3324999999999978</v>
      </c>
      <c r="E13" s="125">
        <f>AVERAGE(K29:N29)</f>
        <v>3.3424999999999976</v>
      </c>
      <c r="F13" s="125">
        <f>AVERAGE(O29:R29)</f>
        <v>3.7068182499999973</v>
      </c>
      <c r="G13" s="125">
        <f>AVERAGE(S29:V29)</f>
        <v>3.8076797499999997</v>
      </c>
      <c r="H13" s="125">
        <f>AVERAGE(W29:Z29)</f>
        <v>3.7604842500000002</v>
      </c>
      <c r="I13" s="125">
        <f>AVERAGE(AA29:AD29)</f>
        <v>3.75</v>
      </c>
      <c r="J13" s="125">
        <f>AVERAGE(AE29:AH29)</f>
        <v>3.75</v>
      </c>
      <c r="K13" s="126">
        <f>AVERAGE(AI29:AL29)</f>
        <v>3.75</v>
      </c>
      <c r="L13" s="24"/>
      <c r="M13" s="24"/>
      <c r="N13" s="24"/>
      <c r="O13" s="24"/>
    </row>
    <row r="14" spans="1:15" x14ac:dyDescent="0.25">
      <c r="A14" s="128" t="s">
        <v>13</v>
      </c>
      <c r="B14" s="72"/>
      <c r="C14" s="125">
        <f>AVERAGE(C30:F30)</f>
        <v>3.0358333333333301</v>
      </c>
      <c r="D14" s="125">
        <f>AVERAGE(G30:J30)</f>
        <v>3.4458333333333302</v>
      </c>
      <c r="E14" s="125">
        <f>AVERAGE(K30:N30)</f>
        <v>3.2774999999999976</v>
      </c>
      <c r="F14" s="125">
        <f>AVERAGE(O30:R30)</f>
        <v>3.3042592499999976</v>
      </c>
      <c r="G14" s="125">
        <f>AVERAGE(S30:V30)</f>
        <v>3.4561687500000002</v>
      </c>
      <c r="H14" s="125">
        <f>AVERAGE(W30:Z30)</f>
        <v>3.4953072499999998</v>
      </c>
      <c r="I14" s="125">
        <f>AVERAGE(AA30:AD30)</f>
        <v>3.5</v>
      </c>
      <c r="J14" s="125">
        <f>AVERAGE(AE30:AH30)</f>
        <v>3.5</v>
      </c>
      <c r="K14" s="126">
        <f>AVERAGE(AI30:AL30)</f>
        <v>3.5</v>
      </c>
      <c r="L14" s="24"/>
      <c r="M14" s="24"/>
      <c r="N14" s="24"/>
      <c r="O14" s="24"/>
    </row>
    <row r="15" spans="1:15" x14ac:dyDescent="0.25">
      <c r="A15" s="117"/>
      <c r="B15" s="72"/>
      <c r="C15" s="125"/>
      <c r="D15" s="125"/>
      <c r="E15" s="125"/>
      <c r="F15" s="125"/>
      <c r="G15" s="125"/>
      <c r="H15" s="125"/>
      <c r="I15" s="125"/>
      <c r="J15" s="125"/>
      <c r="K15" s="126"/>
      <c r="L15" s="24"/>
      <c r="M15" s="24"/>
      <c r="N15" s="24"/>
      <c r="O15" s="24"/>
    </row>
    <row r="16" spans="1:15" x14ac:dyDescent="0.25">
      <c r="A16" s="128" t="s">
        <v>204</v>
      </c>
      <c r="B16" s="72"/>
      <c r="C16" s="125">
        <f>AVERAGE(C32:F32)</f>
        <v>3.1768666666666627</v>
      </c>
      <c r="D16" s="125">
        <f t="shared" ref="D16:D18" si="4">AVERAGE(G32:J32)</f>
        <v>4.0518999999999972</v>
      </c>
      <c r="E16" s="125">
        <f t="shared" ref="E16:E18" si="5">AVERAGE(K32:N32)</f>
        <v>3.4922666666666622</v>
      </c>
      <c r="F16" s="125">
        <f t="shared" ref="F16:F18" si="6">AVERAGE(O32:R32)</f>
        <v>2.9513889166666649</v>
      </c>
      <c r="G16" s="125">
        <f t="shared" ref="G16:G18" si="7">AVERAGE(S32:V32)</f>
        <v>2.4880752449431824</v>
      </c>
      <c r="H16" s="125">
        <f>AVERAGE(W32:Z32)</f>
        <v>2.7674466657475927</v>
      </c>
      <c r="I16" s="125">
        <f t="shared" ref="I16:I18" si="8">AVERAGE(AA32:AD32)</f>
        <v>2.82</v>
      </c>
      <c r="J16" s="125">
        <f t="shared" ref="J16:J18" si="9">AVERAGE(AE32:AH32)</f>
        <v>2.82</v>
      </c>
      <c r="K16" s="126">
        <f t="shared" ref="K16:K18" si="10">AVERAGE(AI32:AL32)</f>
        <v>2.82</v>
      </c>
      <c r="L16" s="24"/>
      <c r="M16" s="24"/>
      <c r="N16" s="24"/>
      <c r="O16" s="24"/>
    </row>
    <row r="17" spans="1:82" x14ac:dyDescent="0.25">
      <c r="A17" s="128" t="s">
        <v>205</v>
      </c>
      <c r="B17" s="72"/>
      <c r="C17" s="125">
        <f t="shared" ref="C17:C18" si="11">AVERAGE(C33:F33)</f>
        <v>3.1768666666666627</v>
      </c>
      <c r="D17" s="125">
        <f t="shared" si="4"/>
        <v>4.0518999999999972</v>
      </c>
      <c r="E17" s="125">
        <f t="shared" si="5"/>
        <v>3.4922666666666622</v>
      </c>
      <c r="F17" s="125">
        <f t="shared" si="6"/>
        <v>2.9513889166666649</v>
      </c>
      <c r="G17" s="125">
        <f t="shared" si="7"/>
        <v>2.5634453699431825</v>
      </c>
      <c r="H17" s="125">
        <f t="shared" ref="H17:H18" si="12">AVERAGE(W33:Z33)</f>
        <v>2.8226651007475927</v>
      </c>
      <c r="I17" s="125">
        <f t="shared" si="8"/>
        <v>2.8679999999999999</v>
      </c>
      <c r="J17" s="125">
        <f t="shared" si="9"/>
        <v>2.8679999999999999</v>
      </c>
      <c r="K17" s="126">
        <f>AVERAGE(AI33:AL33)</f>
        <v>2.8679999999999999</v>
      </c>
      <c r="L17" s="24"/>
      <c r="M17" s="24"/>
      <c r="N17" s="24"/>
      <c r="O17" s="24"/>
    </row>
    <row r="18" spans="1:82" x14ac:dyDescent="0.25">
      <c r="A18" s="128" t="s">
        <v>206</v>
      </c>
      <c r="B18" s="72"/>
      <c r="C18" s="125">
        <f t="shared" si="11"/>
        <v>3.1768666666666627</v>
      </c>
      <c r="D18" s="125">
        <f t="shared" si="4"/>
        <v>4.0518999999999972</v>
      </c>
      <c r="E18" s="125">
        <f t="shared" si="5"/>
        <v>3.4922666666666622</v>
      </c>
      <c r="F18" s="125">
        <f t="shared" si="6"/>
        <v>2.9513889166666649</v>
      </c>
      <c r="G18" s="125">
        <f t="shared" si="7"/>
        <v>2.764432369943183</v>
      </c>
      <c r="H18" s="125">
        <f t="shared" si="12"/>
        <v>2.9699142607475926</v>
      </c>
      <c r="I18" s="125">
        <f t="shared" si="8"/>
        <v>2.996</v>
      </c>
      <c r="J18" s="125">
        <f t="shared" si="9"/>
        <v>2.996</v>
      </c>
      <c r="K18" s="126">
        <f t="shared" si="10"/>
        <v>2.996</v>
      </c>
      <c r="L18" s="24"/>
      <c r="M18" s="24"/>
      <c r="N18" s="24"/>
      <c r="O18" s="24"/>
    </row>
    <row r="19" spans="1:82" x14ac:dyDescent="0.25">
      <c r="A19" s="128"/>
      <c r="B19" s="72"/>
      <c r="C19" s="125"/>
      <c r="D19" s="125"/>
      <c r="E19" s="125"/>
      <c r="F19" s="125"/>
      <c r="G19" s="125"/>
      <c r="H19" s="125"/>
      <c r="I19" s="125"/>
      <c r="J19" s="125"/>
      <c r="K19" s="126"/>
      <c r="L19" s="24"/>
      <c r="M19" s="24"/>
      <c r="N19" s="24"/>
      <c r="O19" s="24"/>
    </row>
    <row r="20" spans="1:82" x14ac:dyDescent="0.25">
      <c r="A20" s="83" t="s">
        <v>294</v>
      </c>
      <c r="B20" s="72"/>
      <c r="C20" s="125">
        <f>SUMPRODUCT(C7:C9,C16:C18)</f>
        <v>3.1768666666666627</v>
      </c>
      <c r="D20" s="125">
        <f t="shared" ref="D20:K20" si="13">SUMPRODUCT(D7:D9,D16:D18)</f>
        <v>4.0518999999999972</v>
      </c>
      <c r="E20" s="125">
        <f t="shared" si="13"/>
        <v>3.4922666666666622</v>
      </c>
      <c r="F20" s="125">
        <f t="shared" si="13"/>
        <v>2.9513889166666649</v>
      </c>
      <c r="G20" s="125">
        <f t="shared" si="13"/>
        <v>2.6044361396800246</v>
      </c>
      <c r="H20" s="125">
        <f t="shared" si="13"/>
        <v>2.8517559274426394</v>
      </c>
      <c r="I20" s="125">
        <f t="shared" si="13"/>
        <v>2.8932879256965944</v>
      </c>
      <c r="J20" s="125">
        <f t="shared" si="13"/>
        <v>2.8932879256965944</v>
      </c>
      <c r="K20" s="125">
        <f t="shared" si="13"/>
        <v>2.8932879256965944</v>
      </c>
    </row>
    <row r="21" spans="1:82" s="23" customFormat="1" x14ac:dyDescent="0.25">
      <c r="A21" s="124" t="s">
        <v>254</v>
      </c>
      <c r="B21" s="127"/>
      <c r="C21" s="129">
        <f t="shared" ref="C21:K21" si="14">C$2*C12+C$3*C13+C$4*C$7*C$16+C$4*C$8*C$17+C$4*C$9*C$18</f>
        <v>3.2565902670111941</v>
      </c>
      <c r="D21" s="129">
        <f t="shared" si="14"/>
        <v>4.4822012371133999</v>
      </c>
      <c r="E21" s="129">
        <f t="shared" si="14"/>
        <v>3.6444527841369734</v>
      </c>
      <c r="F21" s="129">
        <f t="shared" si="14"/>
        <v>2.8419065645384172</v>
      </c>
      <c r="G21" s="129">
        <f t="shared" si="14"/>
        <v>2.6580713627470329</v>
      </c>
      <c r="H21" s="129">
        <f t="shared" si="14"/>
        <v>2.8980501102243621</v>
      </c>
      <c r="I21" s="129">
        <f t="shared" si="14"/>
        <v>2.9683548806065292</v>
      </c>
      <c r="J21" s="129">
        <f t="shared" si="14"/>
        <v>2.9683548806065292</v>
      </c>
      <c r="K21" s="130">
        <f t="shared" si="14"/>
        <v>2.9683548806065292</v>
      </c>
      <c r="L21" s="48"/>
      <c r="M21" s="48"/>
      <c r="N21" s="48"/>
      <c r="O21" s="48"/>
    </row>
    <row r="22" spans="1:82" x14ac:dyDescent="0.25">
      <c r="A22" s="21"/>
    </row>
    <row r="25" spans="1:82" x14ac:dyDescent="0.2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2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2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2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2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2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2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2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2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2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25">
      <c r="AR35" s="24"/>
      <c r="AS35" s="24"/>
      <c r="AT35" s="24"/>
      <c r="AU35" s="24"/>
      <c r="AV35" s="24"/>
      <c r="AW35" s="24"/>
    </row>
    <row r="36" spans="1:49" x14ac:dyDescent="0.25">
      <c r="A36" s="25" t="s">
        <v>248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25">
      <c r="A37" s="25" t="s">
        <v>249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25">
      <c r="A38" s="25" t="s">
        <v>250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25">
      <c r="A39" s="25" t="s">
        <v>251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25">
      <c r="A40" s="25" t="s">
        <v>252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25">
      <c r="A41" s="25"/>
      <c r="AR41" s="24"/>
      <c r="AS41" s="24"/>
      <c r="AT41" s="24"/>
      <c r="AU41" s="24"/>
      <c r="AV41" s="24"/>
      <c r="AW41" s="24"/>
    </row>
    <row r="42" spans="1:49" x14ac:dyDescent="0.25">
      <c r="A42" s="25" t="s">
        <v>253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2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25">
      <c r="A44" s="25" t="s">
        <v>256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2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2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2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25">
      <c r="AR49" s="24"/>
      <c r="AS49" s="24"/>
      <c r="AT49" s="24"/>
      <c r="AU49" s="24"/>
      <c r="AV49" s="24"/>
      <c r="AW49" s="24"/>
    </row>
    <row r="50" spans="1:82" x14ac:dyDescent="0.25">
      <c r="AR50" s="24"/>
      <c r="AS50" s="24"/>
      <c r="AT50" s="24"/>
      <c r="AU50" s="24"/>
      <c r="AV50" s="24"/>
      <c r="AW50" s="24"/>
    </row>
    <row r="51" spans="1:82" x14ac:dyDescent="0.25">
      <c r="AR51" s="24"/>
      <c r="AS51" s="24"/>
      <c r="AT51" s="24"/>
      <c r="AU51" s="24"/>
      <c r="AV51" s="24"/>
      <c r="AW51" s="24"/>
    </row>
    <row r="52" spans="1:82" x14ac:dyDescent="0.2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2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2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25">
      <c r="AR55" s="24"/>
      <c r="AS55" s="24"/>
      <c r="AT55" s="24"/>
      <c r="AU55" s="24"/>
      <c r="AV55" s="24"/>
      <c r="AW55" s="24"/>
    </row>
    <row r="56" spans="1:82" x14ac:dyDescent="0.2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2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25">
      <c r="AR58" s="24"/>
      <c r="AS58" s="24"/>
      <c r="AT58" s="24"/>
      <c r="AU58" s="24"/>
      <c r="AV58" s="24"/>
      <c r="AW58" s="24"/>
    </row>
    <row r="59" spans="1:82" x14ac:dyDescent="0.25">
      <c r="A59" s="20"/>
      <c r="AR59" s="24"/>
      <c r="AS59" s="24"/>
      <c r="AT59" s="24"/>
      <c r="AU59" s="24"/>
      <c r="AV59" s="24"/>
      <c r="AW59" s="24"/>
    </row>
    <row r="60" spans="1:82" x14ac:dyDescent="0.2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2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2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2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2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25">
      <c r="B70"/>
    </row>
    <row r="71" spans="1:14" x14ac:dyDescent="0.2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Robert-Ouimet, Jean-Simon : PBO-DPB</cp:lastModifiedBy>
  <dcterms:created xsi:type="dcterms:W3CDTF">2019-03-06T17:58:40Z</dcterms:created>
  <dcterms:modified xsi:type="dcterms:W3CDTF">2026-07-14T17:36:35Z</dcterms:modified>
</cp:coreProperties>
</file>